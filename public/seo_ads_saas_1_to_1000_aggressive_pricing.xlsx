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a06230bcc646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fit Roadmap" sheetId="1" r:id="R9153a98a27bb4938"/>
    <x:sheet xmlns:r="http://schemas.openxmlformats.org/officeDocument/2006/relationships" name="Pricing Strategy" sheetId="2" r:id="R5bfe980834c64a19"/>
    <x:sheet xmlns:r="http://schemas.openxmlformats.org/officeDocument/2006/relationships" name="Cost Assumptions" sheetId="3" r:id="R48c81ddb204846b3"/>
    <x:sheet xmlns:r="http://schemas.openxmlformats.org/officeDocument/2006/relationships" name="Research Sources" sheetId="4" r:id="Rcd8ccfcde27949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₹#,##0"/>
    <x:numFmt numFmtId="201" formatCode="0%"/>
    <x:numFmt numFmtId="202" formatCode="0.0%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2B4D"/>
      </x:patternFill>
    </x:fill>
    <x:fill>
      <x:patternFill patternType="solid">
        <x:fgColor rgb="FF234E70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B91C1C"/>
      </x:font>
      <x:fill>
        <x:patternFill patternType="solid">
          <x:bgColor rgb="FFFCE8E6"/>
        </x:patternFill>
      </x:fill>
    </x:dxf>
    <x:dxf>
      <x:font>
        <x:color rgb="FF137333"/>
      </x:font>
      <x:fill>
        <x:patternFill patternType="solid"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0d225d9cdc4e9e" /><Relationship Type="http://schemas.openxmlformats.org/officeDocument/2006/relationships/theme" Target="/xl/theme/theme1.xml" Id="Rfd5b4bea2a1e4c67" /><Relationship Type="http://schemas.openxmlformats.org/officeDocument/2006/relationships/sharedStrings" Target="/xl/sharedStrings.xml" Id="R5f501476b7d745c5" /><Relationship Type="http://schemas.openxmlformats.org/officeDocument/2006/relationships/worksheet" Target="/xl/worksheets/sheet1.xml" Id="R9153a98a27bb4938" /><Relationship Type="http://schemas.openxmlformats.org/officeDocument/2006/relationships/worksheet" Target="/xl/worksheets/sheet2.xml" Id="R5bfe980834c64a19" /><Relationship Type="http://schemas.openxmlformats.org/officeDocument/2006/relationships/worksheet" Target="/xl/worksheets/sheet3.xml" Id="R48c81ddb204846b3" /><Relationship Type="http://schemas.openxmlformats.org/officeDocument/2006/relationships/worksheet" Target="/xl/worksheets/sheet4.xml" Id="Rcd8ccfcde279492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d6ac5bccdc54f2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MRR vs Monthly Profit (1→1000)</a:t>
            </a:r>
          </a:p>
        </c:rich>
      </c:tx>
    </c:title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cat>
            <c:strRef>
              <c:f>'Profit Roadmap'!$A$4:$A$104</c:f>
              <c:strCache>
                <c:ptCount val="0"/>
              </c:strCache>
            </c:strRef>
          </c:cat>
          <c:val>
            <c:numRef>
              <c:f>'Profit Roadmap'!$B$4:$B$104</c:f>
              <c:numCache>
                <c:formatCode>₹#,##0</c:formatCode>
                <c:ptCount val="0"/>
              </c:numCache>
            </c:numRef>
          </c:val>
        </c:ser>
        <c:ser>
          <c:idx val="1"/>
          <c:order val="1"/>
          <c:tx>
            <c:v>Series 2</c:v>
          </c:tx>
          <c:marker>
            <c:symbol val="none"/>
          </c:marker>
          <c:cat>
            <c:strRef>
              <c:f>'Profit Roadmap'!$A$4:$A$104</c:f>
              <c:strCache>
                <c:ptCount val="0"/>
              </c:strCache>
            </c:strRef>
          </c:cat>
          <c:val>
            <c:numRef>
              <c:f>'Profit Roadmap'!$C$4:$C$104</c:f>
              <c:numCache>
                <c:formatCode>₹#,##0</c:formatCode>
                <c:ptCount val="0"/>
              </c:numCache>
            </c:numRef>
          </c:val>
        </c:ser>
        <c:ser>
          <c:idx val="2"/>
          <c:order val="2"/>
          <c:tx>
            <c:v>Series 3</c:v>
          </c:tx>
          <c:marker>
            <c:symbol val="none"/>
          </c:marker>
          <c:cat>
            <c:strRef>
              <c:f>'Profit Roadmap'!$A$4:$A$104</c:f>
              <c:strCache>
                <c:ptCount val="0"/>
              </c:strCache>
            </c:strRef>
          </c:cat>
          <c:val>
            <c:numRef>
              <c:f>'Profit Roadmap'!$D$4:$D$104</c:f>
              <c:numCache>
                <c:formatCode>₹#,##0</c:formatCode>
                <c:ptCount val="0"/>
              </c:numCache>
            </c:numRef>
          </c:val>
        </c:ser>
        <c:ser>
          <c:idx val="3"/>
          <c:order val="3"/>
          <c:tx>
            <c:v>Series 4</c:v>
          </c:tx>
          <c:marker>
            <c:symbol val="none"/>
          </c:marker>
          <c:cat>
            <c:strRef>
              <c:f>'Profit Roadmap'!$A$4:$A$104</c:f>
              <c:strCache>
                <c:ptCount val="0"/>
              </c:strCache>
            </c:strRef>
          </c:cat>
          <c:val>
            <c:numRef>
              <c:f>'Profit Roadmap'!$E$4:$E$104</c:f>
              <c:numCache>
                <c:formatCode>₹#,##0</c:formatCode>
                <c:ptCount val="0"/>
              </c:numCache>
            </c:numRef>
          </c:val>
        </c:ser>
        <c:ser>
          <c:idx val="4"/>
          <c:order val="4"/>
          <c:tx>
            <c:v>Series 5</c:v>
          </c:tx>
          <c:marker>
            <c:symbol val="none"/>
          </c:marker>
          <c:cat>
            <c:strRef>
              <c:f>'Profit Roadmap'!$A$4:$A$104</c:f>
              <c:strCache>
                <c:ptCount val="0"/>
              </c:strCache>
            </c:strRef>
          </c:cat>
          <c:val>
            <c:numRef>
              <c:f>'Profit Roadmap'!$F$4:$F$104</c:f>
              <c:numCache>
                <c:formatCode>₹#,##0</c:formatCode>
                <c:ptCount val="0"/>
              </c:numCache>
            </c:numRef>
          </c:val>
        </c:ser>
        <c:ser>
          <c:idx val="5"/>
          <c:order val="5"/>
          <c:tx>
            <c:v>Series 6</c:v>
          </c:tx>
          <c:marker>
            <c:symbol val="none"/>
          </c:marker>
          <c:cat>
            <c:strRef>
              <c:f>'Profit Roadmap'!$A$4:$A$104</c:f>
              <c:strCache>
                <c:ptCount val="0"/>
              </c:strCache>
            </c:strRef>
          </c:cat>
          <c:val>
            <c:numRef>
              <c:f>'Profit Roadmap'!$G$4:$G$104</c:f>
              <c:numCache>
                <c:formatCode>₹#,##0</c:formatCode>
                <c:ptCount val="0"/>
              </c:numCache>
            </c:numRef>
          </c:val>
        </c:ser>
        <c:ser>
          <c:idx val="6"/>
          <c:order val="6"/>
          <c:tx>
            <c:v>Series 7</c:v>
          </c:tx>
          <c:marker>
            <c:symbol val="none"/>
          </c:marker>
          <c:cat>
            <c:strRef>
              <c:f>'Profit Roadmap'!$A$4:$A$104</c:f>
              <c:strCache>
                <c:ptCount val="0"/>
              </c:strCache>
            </c:strRef>
          </c:cat>
          <c:val>
            <c:numRef>
              <c:f>'Profit Roadmap'!$H$4:$H$104</c:f>
              <c:numCache>
                <c:formatCode>₹#,##0</c:formatCode>
                <c:ptCount val="0"/>
              </c:numCache>
            </c:numRef>
          </c:val>
        </c:ser>
        <c:ser>
          <c:idx val="7"/>
          <c:order val="7"/>
          <c:tx>
            <c:v>Series 8</c:v>
          </c:tx>
          <c:marker>
            <c:symbol val="none"/>
          </c:marker>
          <c:cat>
            <c:strRef>
              <c:f>'Profit Roadmap'!$A$4:$A$104</c:f>
              <c:strCache>
                <c:ptCount val="0"/>
              </c:strCache>
            </c:strRef>
          </c:cat>
          <c:val>
            <c:numRef>
              <c:f>'Profit Roadmap'!$I$4:$I$104</c:f>
              <c:numCache>
                <c:formatCode>₹#,##0</c:formatCode>
                <c:ptCount val="0"/>
              </c:numCache>
            </c:numRef>
          </c:val>
        </c:ser>
        <c:ser>
          <c:idx val="8"/>
          <c:order val="8"/>
          <c:tx>
            <c:v>Series 9</c:v>
          </c:tx>
          <c:marker>
            <c:symbol val="none"/>
          </c:marker>
          <c:cat>
            <c:strRef>
              <c:f>'Profit Roadmap'!$A$4:$A$104</c:f>
              <c:strCache>
                <c:ptCount val="0"/>
              </c:strCache>
            </c:strRef>
          </c:cat>
          <c:val>
            <c:numRef>
              <c:f>'Profit Roadmap'!$J$4:$J$104</c:f>
              <c:numCache>
                <c:formatCode>₹#,##0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10</xdr:row>
      <xdr:rowOff>0</xdr:rowOff>
    </xdr:from>
    <xdr:to>
      <xdr:col>21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d6ac5bccdc54f2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0c555ff417642bf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6" hidden="0" customWidth="1"/>
    <x:col min="4" max="4" width="19" hidden="0" customWidth="1"/>
    <x:col min="5" max="5" width="15" hidden="0" customWidth="1"/>
    <x:col min="6" max="6" width="20" hidden="0" customWidth="1"/>
    <x:col min="7" max="7" width="18" hidden="0" customWidth="1"/>
    <x:col min="8" max="8" width="14" hidden="0" customWidth="1"/>
    <x:col min="9" max="9" width="16" hidden="0" customWidth="1"/>
    <x:col min="10" max="10" width="18" hidden="0" customWidth="1"/>
    <x:col min="11" max="11" width="12" hidden="0" customWidth="1"/>
    <x:col min="13" max="13" width="22" hidden="0" customWidth="1"/>
    <x:col min="14" max="14" width="14" hidden="0" customWidth="1"/>
    <x:col min="15" max="15" width="16" hidden="0" customWidth="1"/>
    <x:col min="16" max="16" width="16" hidden="0" customWidth="1"/>
  </x:cols>
  <x:sheetData>
    <x:row r="1">
      <x:c r="A1" s="10" t="str">
        <x:v>1 → 1,000 Paying Customers: Revenue, Ads, Costs &amp; Profit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  <x:c r="M1" s="11"/>
      <x:c r="N1" s="11"/>
      <x:c r="O1" s="11"/>
      <x:c r="P1" s="11"/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</x:row>
    <x:row r="3">
      <x:c r="A3" s="12" t="str">
        <x:v>Customers</x:v>
      </x:c>
      <x:c r="B3" s="12" t="str">
        <x:v>ARPU</x:v>
      </x:c>
      <x:c r="C3" s="12" t="str">
        <x:v>MRR</x:v>
      </x:c>
      <x:c r="D3" s="12" t="str">
        <x:v>Fixed Infra/Tools</x:v>
      </x:c>
      <x:c r="E3" s="12" t="str">
        <x:v>API/Data</x:v>
      </x:c>
      <x:c r="F3" s="12" t="str">
        <x:v>Variable Infra+Ops</x:v>
      </x:c>
      <x:c r="G3" s="12" t="str">
        <x:v>Ads/Marketing</x:v>
      </x:c>
      <x:c r="H3" s="12" t="str">
        <x:v>Gateway</x:v>
      </x:c>
      <x:c r="I3" s="12" t="str">
        <x:v>Total Cost</x:v>
      </x:c>
      <x:c r="J3" s="12" t="str">
        <x:v>Monthly Profit</x:v>
      </x:c>
      <x:c r="K3" s="12" t="str">
        <x:v>Margin</x:v>
      </x:c>
      <x:c r="L3" s="11"/>
      <x:c r="M3" s="12" t="str">
        <x:v>Milestone</x:v>
      </x:c>
      <x:c r="N3" s="12" t="str">
        <x:v>Customers</x:v>
      </x:c>
      <x:c r="O3" s="12" t="str">
        <x:v>MRR</x:v>
      </x:c>
      <x:c r="P3" s="12" t="str">
        <x:v>Profit</x:v>
      </x:c>
    </x:row>
    <x:row r="4">
      <x:c r="A4" s="11" t="n">
        <x:v>1</x:v>
      </x:c>
      <x:c r="B4" s="16" t="n">
        <x:f>'Pricing Strategy'!$B$8</x:f>
        <x:v>2699</x:v>
      </x:c>
      <x:c r="C4" s="16" t="n">
        <x:f>A4*B4</x:f>
        <x:v>2699</x:v>
      </x:c>
      <x:c r="D4" s="16" t="n">
        <x:f>IF(A4&lt;=10,'Cost Assumptions'!B4+'Cost Assumptions'!B5,IF(A4&lt;=50,'Cost Assumptions'!C4+'Cost Assumptions'!C5,IF(A4&lt;=100,'Cost Assumptions'!D4+'Cost Assumptions'!D5,'Cost Assumptions'!E4+'Cost Assumptions'!E5)))</x:f>
        <x:v>5000</x:v>
      </x:c>
      <x:c r="E4" s="16" t="n">
        <x:f>A4*IF(A4&lt;=10,'Cost Assumptions'!B6,IF(A4&lt;=50,'Cost Assumptions'!C6,IF(A4&lt;=100,'Cost Assumptions'!D6,'Cost Assumptions'!E6)))</x:f>
        <x:v>180</x:v>
      </x:c>
      <x:c r="F4" s="16" t="n">
        <x:f>A4*(IF(A4&lt;=10,'Cost Assumptions'!B7+'Cost Assumptions'!B8,IF(A4&lt;=50,'Cost Assumptions'!C7+'Cost Assumptions'!C8,IF(A4&lt;=100,'Cost Assumptions'!D7+'Cost Assumptions'!D8,'Cost Assumptions'!E7+'Cost Assumptions'!E8))))</x:f>
        <x:v>120</x:v>
      </x:c>
      <x:c r="G4" s="16" t="n">
        <x:f>IF(A4&lt;=10,'Cost Assumptions'!B9,IF(A4&lt;=50,'Cost Assumptions'!C9,IF(A4&lt;=100,MAX('Cost Assumptions'!D9,C4*'Cost Assumptions'!D10),C4*'Cost Assumptions'!E10)))</x:f>
        <x:v>10000</x:v>
      </x:c>
      <x:c r="H4" s="16" t="n">
        <x:f>C4*IF(A4&lt;=10,'Cost Assumptions'!B11,IF(A4&lt;=50,'Cost Assumptions'!C11,IF(A4&lt;=100,'Cost Assumptions'!D11,'Cost Assumptions'!E11)))</x:f>
        <x:v>63.6964</x:v>
      </x:c>
      <x:c r="I4" s="16" t="n">
        <x:f>SUM(D4:H4)</x:f>
        <x:v>15363.6964</x:v>
      </x:c>
      <x:c r="J4" s="16" t="n">
        <x:f>C4-I4</x:f>
        <x:v>-12664.6964</x:v>
      </x:c>
      <x:c r="K4" s="20" t="n">
        <x:f>J4/C4</x:f>
        <x:v>-4.692366209707299</x:v>
      </x:c>
      <x:c r="L4" s="11"/>
      <x:c r="M4" s="11" t="str">
        <x:v>First profitable 10-step</x:v>
      </x:c>
      <x:c r="N4" s="11" t="n">
        <x:f>INDEX(A4:A104,MATCH(TRUE,J4:J104&gt;0,0))</x:f>
        <x:v>10</x:v>
      </x:c>
      <x:c r="O4" s="16" t="n">
        <x:f>INDEX(C4:C104,MATCH(TRUE,J4:J104&gt;0,0))</x:f>
        <x:v>26990</x:v>
      </x:c>
      <x:c r="P4" s="16" t="n">
        <x:f>INDEX(J4:J104,MATCH(TRUE,J4:J104&gt;0,0))</x:f>
        <x:v>8353.036</x:v>
      </x:c>
    </x:row>
    <x:row r="5">
      <x:c r="A5" s="11" t="n">
        <x:v>10</x:v>
      </x:c>
      <x:c r="B5" s="16" t="n">
        <x:f>'Pricing Strategy'!$B$8</x:f>
        <x:v>2699</x:v>
      </x:c>
      <x:c r="C5" s="16" t="n">
        <x:f>A5*B5</x:f>
        <x:v>26990</x:v>
      </x:c>
      <x:c r="D5" s="16" t="n">
        <x:f>IF(A5&lt;=10,'Cost Assumptions'!B4+'Cost Assumptions'!B5,IF(A5&lt;=50,'Cost Assumptions'!C4+'Cost Assumptions'!C5,IF(A5&lt;=100,'Cost Assumptions'!D4+'Cost Assumptions'!D5,'Cost Assumptions'!E4+'Cost Assumptions'!E5)))</x:f>
        <x:v>5000</x:v>
      </x:c>
      <x:c r="E5" s="16" t="n">
        <x:f>A5*IF(A5&lt;=10,'Cost Assumptions'!B6,IF(A5&lt;=50,'Cost Assumptions'!C6,IF(A5&lt;=100,'Cost Assumptions'!D6,'Cost Assumptions'!E6)))</x:f>
        <x:v>1800</x:v>
      </x:c>
      <x:c r="F5" s="16" t="n">
        <x:f>A5*(IF(A5&lt;=10,'Cost Assumptions'!B7+'Cost Assumptions'!B8,IF(A5&lt;=50,'Cost Assumptions'!C7+'Cost Assumptions'!C8,IF(A5&lt;=100,'Cost Assumptions'!D7+'Cost Assumptions'!D8,'Cost Assumptions'!E7+'Cost Assumptions'!E8))))</x:f>
        <x:v>1200</x:v>
      </x:c>
      <x:c r="G5" s="16" t="n">
        <x:f>IF(A5&lt;=10,'Cost Assumptions'!B9,IF(A5&lt;=50,'Cost Assumptions'!C9,IF(A5&lt;=100,MAX('Cost Assumptions'!D9,C5*'Cost Assumptions'!D10),C5*'Cost Assumptions'!E10)))</x:f>
        <x:v>10000</x:v>
      </x:c>
      <x:c r="H5" s="16" t="n">
        <x:f>C5*IF(A5&lt;=10,'Cost Assumptions'!B11,IF(A5&lt;=50,'Cost Assumptions'!C11,IF(A5&lt;=100,'Cost Assumptions'!D11,'Cost Assumptions'!E11)))</x:f>
        <x:v>636.9639999999999</x:v>
      </x:c>
      <x:c r="I5" s="16" t="n">
        <x:f>SUM(D5:H5)</x:f>
        <x:v>18636.964</x:v>
      </x:c>
      <x:c r="J5" s="16" t="n">
        <x:f>C5-I5</x:f>
        <x:v>8353.036</x:v>
      </x:c>
      <x:c r="K5" s="20" t="n">
        <x:f>J5/C5</x:f>
        <x:v>0.30948632826972955</x:v>
      </x:c>
      <x:c r="L5" s="11"/>
      <x:c r="M5" s="11" t="str">
        <x:v>₹20L MRR</x:v>
      </x:c>
      <x:c r="N5" s="11" t="n">
        <x:f>ROUNDUP(2000000/'Pricing Strategy'!B8,0)</x:f>
        <x:v>742</x:v>
      </x:c>
      <x:c r="O5" s="16" t="n">
        <x:f>N5*'Pricing Strategy'!B8</x:f>
        <x:v>2002658</x:v>
      </x:c>
      <x:c r="P5" s="16" t="n">
        <x:f>INDEX(J4:J104,MATCH(N5,A4:A104,1))</x:f>
        <x:v>1312853.4640000002</x:v>
      </x:c>
    </x:row>
    <x:row r="6">
      <x:c r="A6" s="11" t="n">
        <x:v>20</x:v>
      </x:c>
      <x:c r="B6" s="16" t="n">
        <x:f>'Pricing Strategy'!$B$8</x:f>
        <x:v>2699</x:v>
      </x:c>
      <x:c r="C6" s="16" t="n">
        <x:f>A6*B6</x:f>
        <x:v>53980</x:v>
      </x:c>
      <x:c r="D6" s="16" t="n">
        <x:f>IF(A6&lt;=10,'Cost Assumptions'!B4+'Cost Assumptions'!B5,IF(A6&lt;=50,'Cost Assumptions'!C4+'Cost Assumptions'!C5,IF(A6&lt;=100,'Cost Assumptions'!D4+'Cost Assumptions'!D5,'Cost Assumptions'!E4+'Cost Assumptions'!E5)))</x:f>
        <x:v>8500</x:v>
      </x:c>
      <x:c r="E6" s="16" t="n">
        <x:f>A6*IF(A6&lt;=10,'Cost Assumptions'!B6,IF(A6&lt;=50,'Cost Assumptions'!C6,IF(A6&lt;=100,'Cost Assumptions'!D6,'Cost Assumptions'!E6)))</x:f>
        <x:v>3600</x:v>
      </x:c>
      <x:c r="F6" s="16" t="n">
        <x:f>A6*(IF(A6&lt;=10,'Cost Assumptions'!B7+'Cost Assumptions'!B8,IF(A6&lt;=50,'Cost Assumptions'!C7+'Cost Assumptions'!C8,IF(A6&lt;=100,'Cost Assumptions'!D7+'Cost Assumptions'!D8,'Cost Assumptions'!E7+'Cost Assumptions'!E8))))</x:f>
        <x:v>2800</x:v>
      </x:c>
      <x:c r="G6" s="16" t="n">
        <x:f>IF(A6&lt;=10,'Cost Assumptions'!B9,IF(A6&lt;=50,'Cost Assumptions'!C9,IF(A6&lt;=100,MAX('Cost Assumptions'!D9,C6*'Cost Assumptions'!D10),C6*'Cost Assumptions'!E10)))</x:f>
        <x:v>20000</x:v>
      </x:c>
      <x:c r="H6" s="16" t="n">
        <x:f>C6*IF(A6&lt;=10,'Cost Assumptions'!B11,IF(A6&lt;=50,'Cost Assumptions'!C11,IF(A6&lt;=100,'Cost Assumptions'!D11,'Cost Assumptions'!E11)))</x:f>
        <x:v>1273.9279999999999</x:v>
      </x:c>
      <x:c r="I6" s="16" t="n">
        <x:f>SUM(D6:H6)</x:f>
        <x:v>36173.928</x:v>
      </x:c>
      <x:c r="J6" s="16" t="n">
        <x:f>C6-I6</x:f>
        <x:v>17806.072</x:v>
      </x:c>
      <x:c r="K6" s="20" t="n">
        <x:f>J6/C6</x:f>
        <x:v>0.32986424601704334</x:v>
      </x:c>
      <x:c r="L6" s="11"/>
      <x:c r="M6" s="11" t="str">
        <x:v>₹25L MRR</x:v>
      </x:c>
      <x:c r="N6" s="11" t="n">
        <x:f>ROUNDUP(2500000/'Pricing Strategy'!B8,0)</x:f>
        <x:v>927</x:v>
      </x:c>
      <x:c r="O6" s="16" t="n">
        <x:f>N6*'Pricing Strategy'!B8</x:f>
        <x:v>2501973</x:v>
      </x:c>
      <x:c r="P6" s="16" t="n">
        <x:f>INDEX(J4:J104,MATCH(N6,A4:A104,1))</x:f>
        <x:v>1640709.712</x:v>
      </x:c>
    </x:row>
    <x:row r="7">
      <x:c r="A7" s="11" t="n">
        <x:v>30</x:v>
      </x:c>
      <x:c r="B7" s="16" t="n">
        <x:f>'Pricing Strategy'!$B$8</x:f>
        <x:v>2699</x:v>
      </x:c>
      <x:c r="C7" s="16" t="n">
        <x:f>A7*B7</x:f>
        <x:v>80970</x:v>
      </x:c>
      <x:c r="D7" s="16" t="n">
        <x:f>IF(A7&lt;=10,'Cost Assumptions'!B4+'Cost Assumptions'!B5,IF(A7&lt;=50,'Cost Assumptions'!C4+'Cost Assumptions'!C5,IF(A7&lt;=100,'Cost Assumptions'!D4+'Cost Assumptions'!D5,'Cost Assumptions'!E4+'Cost Assumptions'!E5)))</x:f>
        <x:v>8500</x:v>
      </x:c>
      <x:c r="E7" s="16" t="n">
        <x:f>A7*IF(A7&lt;=10,'Cost Assumptions'!B6,IF(A7&lt;=50,'Cost Assumptions'!C6,IF(A7&lt;=100,'Cost Assumptions'!D6,'Cost Assumptions'!E6)))</x:f>
        <x:v>5400</x:v>
      </x:c>
      <x:c r="F7" s="16" t="n">
        <x:f>A7*(IF(A7&lt;=10,'Cost Assumptions'!B7+'Cost Assumptions'!B8,IF(A7&lt;=50,'Cost Assumptions'!C7+'Cost Assumptions'!C8,IF(A7&lt;=100,'Cost Assumptions'!D7+'Cost Assumptions'!D8,'Cost Assumptions'!E7+'Cost Assumptions'!E8))))</x:f>
        <x:v>4200</x:v>
      </x:c>
      <x:c r="G7" s="16" t="n">
        <x:f>IF(A7&lt;=10,'Cost Assumptions'!B9,IF(A7&lt;=50,'Cost Assumptions'!C9,IF(A7&lt;=100,MAX('Cost Assumptions'!D9,C7*'Cost Assumptions'!D10),C7*'Cost Assumptions'!E10)))</x:f>
        <x:v>20000</x:v>
      </x:c>
      <x:c r="H7" s="16" t="n">
        <x:f>C7*IF(A7&lt;=10,'Cost Assumptions'!B11,IF(A7&lt;=50,'Cost Assumptions'!C11,IF(A7&lt;=100,'Cost Assumptions'!D11,'Cost Assumptions'!E11)))</x:f>
        <x:v>1910.892</x:v>
      </x:c>
      <x:c r="I7" s="16" t="n">
        <x:f>SUM(D7:H7)</x:f>
        <x:v>40010.892</x:v>
      </x:c>
      <x:c r="J7" s="16" t="n">
        <x:f>C7-I7</x:f>
        <x:v>40959.108</x:v>
      </x:c>
      <x:c r="K7" s="20" t="n">
        <x:f>J7/C7</x:f>
        <x:v>0.5058553538347537</x:v>
      </x:c>
      <x:c r="L7" s="11"/>
      <x:c r="M7" s="11" t="str">
        <x:v>₹20L profit</x:v>
      </x:c>
      <x:c r="N7" s="11" t="e">
        <x:f>INDEX(A4:A104,MATCH(TRUE,J4:J104&gt;=2000000,0))</x:f>
        <x:v>#N/A</x:v>
      </x:c>
      <x:c r="O7" s="16" t="e">
        <x:f>INDEX(C4:C104,MATCH(N7,A4:A104,0))</x:f>
        <x:v>#N/A</x:v>
      </x:c>
      <x:c r="P7" s="16" t="e">
        <x:f>INDEX(J4:J104,MATCH(N7,A4:A104,0))</x:f>
        <x:v>#N/A</x:v>
      </x:c>
    </x:row>
    <x:row r="8">
      <x:c r="A8" s="11" t="n">
        <x:v>40</x:v>
      </x:c>
      <x:c r="B8" s="16" t="n">
        <x:f>'Pricing Strategy'!$B$8</x:f>
        <x:v>2699</x:v>
      </x:c>
      <x:c r="C8" s="16" t="n">
        <x:f>A8*B8</x:f>
        <x:v>107960</x:v>
      </x:c>
      <x:c r="D8" s="16" t="n">
        <x:f>IF(A8&lt;=10,'Cost Assumptions'!B4+'Cost Assumptions'!B5,IF(A8&lt;=50,'Cost Assumptions'!C4+'Cost Assumptions'!C5,IF(A8&lt;=100,'Cost Assumptions'!D4+'Cost Assumptions'!D5,'Cost Assumptions'!E4+'Cost Assumptions'!E5)))</x:f>
        <x:v>8500</x:v>
      </x:c>
      <x:c r="E8" s="16" t="n">
        <x:f>A8*IF(A8&lt;=10,'Cost Assumptions'!B6,IF(A8&lt;=50,'Cost Assumptions'!C6,IF(A8&lt;=100,'Cost Assumptions'!D6,'Cost Assumptions'!E6)))</x:f>
        <x:v>7200</x:v>
      </x:c>
      <x:c r="F8" s="16" t="n">
        <x:f>A8*(IF(A8&lt;=10,'Cost Assumptions'!B7+'Cost Assumptions'!B8,IF(A8&lt;=50,'Cost Assumptions'!C7+'Cost Assumptions'!C8,IF(A8&lt;=100,'Cost Assumptions'!D7+'Cost Assumptions'!D8,'Cost Assumptions'!E7+'Cost Assumptions'!E8))))</x:f>
        <x:v>5600</x:v>
      </x:c>
      <x:c r="G8" s="16" t="n">
        <x:f>IF(A8&lt;=10,'Cost Assumptions'!B9,IF(A8&lt;=50,'Cost Assumptions'!C9,IF(A8&lt;=100,MAX('Cost Assumptions'!D9,C8*'Cost Assumptions'!D10),C8*'Cost Assumptions'!E10)))</x:f>
        <x:v>20000</x:v>
      </x:c>
      <x:c r="H8" s="16" t="n">
        <x:f>C8*IF(A8&lt;=10,'Cost Assumptions'!B11,IF(A8&lt;=50,'Cost Assumptions'!C11,IF(A8&lt;=100,'Cost Assumptions'!D11,'Cost Assumptions'!E11)))</x:f>
        <x:v>2547.8559999999998</x:v>
      </x:c>
      <x:c r="I8" s="16" t="n">
        <x:f>SUM(D8:H8)</x:f>
        <x:v>43847.856</x:v>
      </x:c>
      <x:c r="J8" s="16" t="n">
        <x:f>C8-I8</x:f>
        <x:v>64112.144</x:v>
      </x:c>
      <x:c r="K8" s="20" t="n">
        <x:f>J8/C8</x:f>
        <x:v>0.5938509077436087</x:v>
      </x:c>
      <x:c r="L8" s="11"/>
      <x:c r="M8" s="11" t="str">
        <x:v>₹25L profit</x:v>
      </x:c>
      <x:c r="N8" s="11" t="str">
        <x:f>IFERROR(INDEX(A4:A104,MATCH(TRUE,J4:J104&gt;=2500000,0)),"&gt;1000")</x:f>
        <x:v>&gt;1000</x:v>
      </x:c>
      <x:c r="O8" s="16"/>
      <x:c r="P8" s="16"/>
    </x:row>
    <x:row r="9">
      <x:c r="A9" s="11" t="n">
        <x:v>50</x:v>
      </x:c>
      <x:c r="B9" s="16" t="n">
        <x:f>'Pricing Strategy'!$B$8</x:f>
        <x:v>2699</x:v>
      </x:c>
      <x:c r="C9" s="16" t="n">
        <x:f>A9*B9</x:f>
        <x:v>134950</x:v>
      </x:c>
      <x:c r="D9" s="16" t="n">
        <x:f>IF(A9&lt;=10,'Cost Assumptions'!B4+'Cost Assumptions'!B5,IF(A9&lt;=50,'Cost Assumptions'!C4+'Cost Assumptions'!C5,IF(A9&lt;=100,'Cost Assumptions'!D4+'Cost Assumptions'!D5,'Cost Assumptions'!E4+'Cost Assumptions'!E5)))</x:f>
        <x:v>8500</x:v>
      </x:c>
      <x:c r="E9" s="16" t="n">
        <x:f>A9*IF(A9&lt;=10,'Cost Assumptions'!B6,IF(A9&lt;=50,'Cost Assumptions'!C6,IF(A9&lt;=100,'Cost Assumptions'!D6,'Cost Assumptions'!E6)))</x:f>
        <x:v>9000</x:v>
      </x:c>
      <x:c r="F9" s="16" t="n">
        <x:f>A9*(IF(A9&lt;=10,'Cost Assumptions'!B7+'Cost Assumptions'!B8,IF(A9&lt;=50,'Cost Assumptions'!C7+'Cost Assumptions'!C8,IF(A9&lt;=100,'Cost Assumptions'!D7+'Cost Assumptions'!D8,'Cost Assumptions'!E7+'Cost Assumptions'!E8))))</x:f>
        <x:v>7000</x:v>
      </x:c>
      <x:c r="G9" s="16" t="n">
        <x:f>IF(A9&lt;=10,'Cost Assumptions'!B9,IF(A9&lt;=50,'Cost Assumptions'!C9,IF(A9&lt;=100,MAX('Cost Assumptions'!D9,C9*'Cost Assumptions'!D10),C9*'Cost Assumptions'!E10)))</x:f>
        <x:v>20000</x:v>
      </x:c>
      <x:c r="H9" s="16" t="n">
        <x:f>C9*IF(A9&lt;=10,'Cost Assumptions'!B11,IF(A9&lt;=50,'Cost Assumptions'!C11,IF(A9&lt;=100,'Cost Assumptions'!D11,'Cost Assumptions'!E11)))</x:f>
        <x:v>3184.8199999999997</x:v>
      </x:c>
      <x:c r="I9" s="16" t="n">
        <x:f>SUM(D9:H9)</x:f>
        <x:v>47684.82</x:v>
      </x:c>
      <x:c r="J9" s="16" t="n">
        <x:f>C9-I9</x:f>
        <x:v>87265.18</x:v>
      </x:c>
      <x:c r="K9" s="20" t="n">
        <x:f>J9/C9</x:f>
        <x:v>0.6466482400889217</x:v>
      </x:c>
      <x:c r="L9" s="11"/>
      <x:c r="M9" s="11"/>
      <x:c r="N9" s="11"/>
      <x:c r="O9" s="11"/>
      <x:c r="P9" s="11"/>
    </x:row>
    <x:row r="10">
      <x:c r="A10" s="11" t="n">
        <x:v>60</x:v>
      </x:c>
      <x:c r="B10" s="16" t="n">
        <x:f>'Pricing Strategy'!$B$8</x:f>
        <x:v>2699</x:v>
      </x:c>
      <x:c r="C10" s="16" t="n">
        <x:f>A10*B10</x:f>
        <x:v>161940</x:v>
      </x:c>
      <x:c r="D10" s="16" t="n">
        <x:f>IF(A10&lt;=10,'Cost Assumptions'!B4+'Cost Assumptions'!B5,IF(A10&lt;=50,'Cost Assumptions'!C4+'Cost Assumptions'!C5,IF(A10&lt;=100,'Cost Assumptions'!D4+'Cost Assumptions'!D5,'Cost Assumptions'!E4+'Cost Assumptions'!E5)))</x:f>
        <x:v>14000</x:v>
      </x:c>
      <x:c r="E10" s="16" t="n">
        <x:f>A10*IF(A10&lt;=10,'Cost Assumptions'!B6,IF(A10&lt;=50,'Cost Assumptions'!C6,IF(A10&lt;=100,'Cost Assumptions'!D6,'Cost Assumptions'!E6)))</x:f>
        <x:v>12000</x:v>
      </x:c>
      <x:c r="F10" s="16" t="n">
        <x:f>A10*(IF(A10&lt;=10,'Cost Assumptions'!B7+'Cost Assumptions'!B8,IF(A10&lt;=50,'Cost Assumptions'!C7+'Cost Assumptions'!C8,IF(A10&lt;=100,'Cost Assumptions'!D7+'Cost Assumptions'!D8,'Cost Assumptions'!E7+'Cost Assumptions'!E8))))</x:f>
        <x:v>10200</x:v>
      </x:c>
      <x:c r="G10" s="16" t="n">
        <x:f>IF(A10&lt;=10,'Cost Assumptions'!B9,IF(A10&lt;=50,'Cost Assumptions'!C9,IF(A10&lt;=100,MAX('Cost Assumptions'!D9,C10*'Cost Assumptions'!D10),C10*'Cost Assumptions'!E10)))</x:f>
        <x:v>40000</x:v>
      </x:c>
      <x:c r="H10" s="16" t="n">
        <x:f>C10*IF(A10&lt;=10,'Cost Assumptions'!B11,IF(A10&lt;=50,'Cost Assumptions'!C11,IF(A10&lt;=100,'Cost Assumptions'!D11,'Cost Assumptions'!E11)))</x:f>
        <x:v>3821.784</x:v>
      </x:c>
      <x:c r="I10" s="16" t="n">
        <x:f>SUM(D10:H10)</x:f>
        <x:v>80021.784</x:v>
      </x:c>
      <x:c r="J10" s="16" t="n">
        <x:f>C10-I10</x:f>
        <x:v>81918.216</x:v>
      </x:c>
      <x:c r="K10" s="20" t="n">
        <x:f>J10/C10</x:f>
        <x:v>0.5058553538347537</x:v>
      </x:c>
      <x:c r="L10" s="11"/>
      <x:c r="M10" s="11"/>
      <x:c r="N10" s="11"/>
      <x:c r="O10" s="11"/>
      <x:c r="P10" s="11"/>
    </x:row>
    <x:row r="11">
      <x:c r="A11" s="11" t="n">
        <x:v>70</x:v>
      </x:c>
      <x:c r="B11" s="16" t="n">
        <x:f>'Pricing Strategy'!$B$8</x:f>
        <x:v>2699</x:v>
      </x:c>
      <x:c r="C11" s="16" t="n">
        <x:f>A11*B11</x:f>
        <x:v>188930</x:v>
      </x:c>
      <x:c r="D11" s="16" t="n">
        <x:f>IF(A11&lt;=10,'Cost Assumptions'!B4+'Cost Assumptions'!B5,IF(A11&lt;=50,'Cost Assumptions'!C4+'Cost Assumptions'!C5,IF(A11&lt;=100,'Cost Assumptions'!D4+'Cost Assumptions'!D5,'Cost Assumptions'!E4+'Cost Assumptions'!E5)))</x:f>
        <x:v>14000</x:v>
      </x:c>
      <x:c r="E11" s="16" t="n">
        <x:f>A11*IF(A11&lt;=10,'Cost Assumptions'!B6,IF(A11&lt;=50,'Cost Assumptions'!C6,IF(A11&lt;=100,'Cost Assumptions'!D6,'Cost Assumptions'!E6)))</x:f>
        <x:v>14000</x:v>
      </x:c>
      <x:c r="F11" s="16" t="n">
        <x:f>A11*(IF(A11&lt;=10,'Cost Assumptions'!B7+'Cost Assumptions'!B8,IF(A11&lt;=50,'Cost Assumptions'!C7+'Cost Assumptions'!C8,IF(A11&lt;=100,'Cost Assumptions'!D7+'Cost Assumptions'!D8,'Cost Assumptions'!E7+'Cost Assumptions'!E8))))</x:f>
        <x:v>11900</x:v>
      </x:c>
      <x:c r="G11" s="16" t="n">
        <x:f>IF(A11&lt;=10,'Cost Assumptions'!B9,IF(A11&lt;=50,'Cost Assumptions'!C9,IF(A11&lt;=100,MAX('Cost Assumptions'!D9,C11*'Cost Assumptions'!D10),C11*'Cost Assumptions'!E10)))</x:f>
        <x:v>40000</x:v>
      </x:c>
      <x:c r="H11" s="16" t="n">
        <x:f>C11*IF(A11&lt;=10,'Cost Assumptions'!B11,IF(A11&lt;=50,'Cost Assumptions'!C11,IF(A11&lt;=100,'Cost Assumptions'!D11,'Cost Assumptions'!E11)))</x:f>
        <x:v>4458.748</x:v>
      </x:c>
      <x:c r="I11" s="16" t="n">
        <x:f>SUM(D11:H11)</x:f>
        <x:v>84358.74799999999</x:v>
      </x:c>
      <x:c r="J11" s="16" t="n">
        <x:f>C11-I11</x:f>
        <x:v>104571.25200000001</x:v>
      </x:c>
      <x:c r="K11" s="20" t="n">
        <x:f>J11/C11</x:f>
        <x:v>0.5534920446726301</x:v>
      </x:c>
      <x:c r="L11" s="11"/>
      <x:c r="M11" s="11"/>
      <x:c r="N11" s="11"/>
      <x:c r="O11" s="11"/>
      <x:c r="P11" s="11"/>
    </x:row>
    <x:row r="12">
      <x:c r="A12" s="11" t="n">
        <x:v>80</x:v>
      </x:c>
      <x:c r="B12" s="16" t="n">
        <x:f>'Pricing Strategy'!$B$8</x:f>
        <x:v>2699</x:v>
      </x:c>
      <x:c r="C12" s="16" t="n">
        <x:f>A12*B12</x:f>
        <x:v>215920</x:v>
      </x:c>
      <x:c r="D12" s="16" t="n">
        <x:f>IF(A12&lt;=10,'Cost Assumptions'!B4+'Cost Assumptions'!B5,IF(A12&lt;=50,'Cost Assumptions'!C4+'Cost Assumptions'!C5,IF(A12&lt;=100,'Cost Assumptions'!D4+'Cost Assumptions'!D5,'Cost Assumptions'!E4+'Cost Assumptions'!E5)))</x:f>
        <x:v>14000</x:v>
      </x:c>
      <x:c r="E12" s="16" t="n">
        <x:f>A12*IF(A12&lt;=10,'Cost Assumptions'!B6,IF(A12&lt;=50,'Cost Assumptions'!C6,IF(A12&lt;=100,'Cost Assumptions'!D6,'Cost Assumptions'!E6)))</x:f>
        <x:v>16000</x:v>
      </x:c>
      <x:c r="F12" s="16" t="n">
        <x:f>A12*(IF(A12&lt;=10,'Cost Assumptions'!B7+'Cost Assumptions'!B8,IF(A12&lt;=50,'Cost Assumptions'!C7+'Cost Assumptions'!C8,IF(A12&lt;=100,'Cost Assumptions'!D7+'Cost Assumptions'!D8,'Cost Assumptions'!E7+'Cost Assumptions'!E8))))</x:f>
        <x:v>13600</x:v>
      </x:c>
      <x:c r="G12" s="16" t="n">
        <x:f>IF(A12&lt;=10,'Cost Assumptions'!B9,IF(A12&lt;=50,'Cost Assumptions'!C9,IF(A12&lt;=100,MAX('Cost Assumptions'!D9,C12*'Cost Assumptions'!D10),C12*'Cost Assumptions'!E10)))</x:f>
        <x:v>40000</x:v>
      </x:c>
      <x:c r="H12" s="16" t="n">
        <x:f>C12*IF(A12&lt;=10,'Cost Assumptions'!B11,IF(A12&lt;=50,'Cost Assumptions'!C11,IF(A12&lt;=100,'Cost Assumptions'!D11,'Cost Assumptions'!E11)))</x:f>
        <x:v>5095.7119999999995</x:v>
      </x:c>
      <x:c r="I12" s="16" t="n">
        <x:f>SUM(D12:H12)</x:f>
        <x:v>88695.712</x:v>
      </x:c>
      <x:c r="J12" s="16" t="n">
        <x:f>C12-I12</x:f>
        <x:v>127224.288</x:v>
      </x:c>
      <x:c r="K12" s="20" t="n">
        <x:f>J12/C12</x:f>
        <x:v>0.5892195628010374</x:v>
      </x:c>
      <x:c r="L12" s="11"/>
      <x:c r="M12" s="11"/>
      <x:c r="N12" s="11"/>
      <x:c r="O12" s="11"/>
      <x:c r="P12" s="11"/>
    </x:row>
    <x:row r="13">
      <x:c r="A13" s="11" t="n">
        <x:v>90</x:v>
      </x:c>
      <x:c r="B13" s="16" t="n">
        <x:f>'Pricing Strategy'!$B$8</x:f>
        <x:v>2699</x:v>
      </x:c>
      <x:c r="C13" s="16" t="n">
        <x:f>A13*B13</x:f>
        <x:v>242910</x:v>
      </x:c>
      <x:c r="D13" s="16" t="n">
        <x:f>IF(A13&lt;=10,'Cost Assumptions'!B4+'Cost Assumptions'!B5,IF(A13&lt;=50,'Cost Assumptions'!C4+'Cost Assumptions'!C5,IF(A13&lt;=100,'Cost Assumptions'!D4+'Cost Assumptions'!D5,'Cost Assumptions'!E4+'Cost Assumptions'!E5)))</x:f>
        <x:v>14000</x:v>
      </x:c>
      <x:c r="E13" s="16" t="n">
        <x:f>A13*IF(A13&lt;=10,'Cost Assumptions'!B6,IF(A13&lt;=50,'Cost Assumptions'!C6,IF(A13&lt;=100,'Cost Assumptions'!D6,'Cost Assumptions'!E6)))</x:f>
        <x:v>18000</x:v>
      </x:c>
      <x:c r="F13" s="16" t="n">
        <x:f>A13*(IF(A13&lt;=10,'Cost Assumptions'!B7+'Cost Assumptions'!B8,IF(A13&lt;=50,'Cost Assumptions'!C7+'Cost Assumptions'!C8,IF(A13&lt;=100,'Cost Assumptions'!D7+'Cost Assumptions'!D8,'Cost Assumptions'!E7+'Cost Assumptions'!E8))))</x:f>
        <x:v>15300</x:v>
      </x:c>
      <x:c r="G13" s="16" t="n">
        <x:f>IF(A13&lt;=10,'Cost Assumptions'!B9,IF(A13&lt;=50,'Cost Assumptions'!C9,IF(A13&lt;=100,MAX('Cost Assumptions'!D9,C13*'Cost Assumptions'!D10),C13*'Cost Assumptions'!E10)))</x:f>
        <x:v>40000</x:v>
      </x:c>
      <x:c r="H13" s="16" t="n">
        <x:f>C13*IF(A13&lt;=10,'Cost Assumptions'!B11,IF(A13&lt;=50,'Cost Assumptions'!C11,IF(A13&lt;=100,'Cost Assumptions'!D11,'Cost Assumptions'!E11)))</x:f>
        <x:v>5732.6759999999995</x:v>
      </x:c>
      <x:c r="I13" s="16" t="n">
        <x:f>SUM(D13:H13)</x:f>
        <x:v>93032.676</x:v>
      </x:c>
      <x:c r="J13" s="16" t="n">
        <x:f>C13-I13</x:f>
        <x:v>149877.324</x:v>
      </x:c>
      <x:c r="K13" s="20" t="n">
        <x:f>J13/C13</x:f>
        <x:v>0.6170076324564653</x:v>
      </x:c>
      <x:c r="L13" s="11"/>
      <x:c r="M13" s="11"/>
      <x:c r="N13" s="11"/>
      <x:c r="O13" s="11"/>
      <x:c r="P13" s="11"/>
    </x:row>
    <x:row r="14">
      <x:c r="A14" s="11" t="n">
        <x:v>100</x:v>
      </x:c>
      <x:c r="B14" s="16" t="n">
        <x:f>'Pricing Strategy'!$B$8</x:f>
        <x:v>2699</x:v>
      </x:c>
      <x:c r="C14" s="16" t="n">
        <x:f>A14*B14</x:f>
        <x:v>269900</x:v>
      </x:c>
      <x:c r="D14" s="16" t="n">
        <x:f>IF(A14&lt;=10,'Cost Assumptions'!B4+'Cost Assumptions'!B5,IF(A14&lt;=50,'Cost Assumptions'!C4+'Cost Assumptions'!C5,IF(A14&lt;=100,'Cost Assumptions'!D4+'Cost Assumptions'!D5,'Cost Assumptions'!E4+'Cost Assumptions'!E5)))</x:f>
        <x:v>14000</x:v>
      </x:c>
      <x:c r="E14" s="16" t="n">
        <x:f>A14*IF(A14&lt;=10,'Cost Assumptions'!B6,IF(A14&lt;=50,'Cost Assumptions'!C6,IF(A14&lt;=100,'Cost Assumptions'!D6,'Cost Assumptions'!E6)))</x:f>
        <x:v>20000</x:v>
      </x:c>
      <x:c r="F14" s="16" t="n">
        <x:f>A14*(IF(A14&lt;=10,'Cost Assumptions'!B7+'Cost Assumptions'!B8,IF(A14&lt;=50,'Cost Assumptions'!C7+'Cost Assumptions'!C8,IF(A14&lt;=100,'Cost Assumptions'!D7+'Cost Assumptions'!D8,'Cost Assumptions'!E7+'Cost Assumptions'!E8))))</x:f>
        <x:v>17000</x:v>
      </x:c>
      <x:c r="G14" s="16" t="n">
        <x:f>IF(A14&lt;=10,'Cost Assumptions'!B9,IF(A14&lt;=50,'Cost Assumptions'!C9,IF(A14&lt;=100,MAX('Cost Assumptions'!D9,C14*'Cost Assumptions'!D10),C14*'Cost Assumptions'!E10)))</x:f>
        <x:v>40000</x:v>
      </x:c>
      <x:c r="H14" s="16" t="n">
        <x:f>C14*IF(A14&lt;=10,'Cost Assumptions'!B11,IF(A14&lt;=50,'Cost Assumptions'!C11,IF(A14&lt;=100,'Cost Assumptions'!D11,'Cost Assumptions'!E11)))</x:f>
        <x:v>6369.639999999999</x:v>
      </x:c>
      <x:c r="I14" s="16" t="n">
        <x:f>SUM(D14:H14)</x:f>
        <x:v>97369.64</x:v>
      </x:c>
      <x:c r="J14" s="16" t="n">
        <x:f>C14-I14</x:f>
        <x:v>172530.36</x:v>
      </x:c>
      <x:c r="K14" s="20" t="n">
        <x:f>J14/C14</x:f>
        <x:v>0.6392380881808076</x:v>
      </x:c>
      <x:c r="L14" s="11"/>
      <x:c r="M14" s="11"/>
      <x:c r="N14" s="11"/>
      <x:c r="O14" s="11"/>
      <x:c r="P14" s="11"/>
    </x:row>
    <x:row r="15">
      <x:c r="A15" s="11" t="n">
        <x:v>110</x:v>
      </x:c>
      <x:c r="B15" s="16" t="n">
        <x:f>'Pricing Strategy'!$B$8</x:f>
        <x:v>2699</x:v>
      </x:c>
      <x:c r="C15" s="16" t="n">
        <x:f>A15*B15</x:f>
        <x:v>296890</x:v>
      </x:c>
      <x:c r="D15" s="16" t="n">
        <x:f>IF(A15&lt;=10,'Cost Assumptions'!B4+'Cost Assumptions'!B5,IF(A15&lt;=50,'Cost Assumptions'!C4+'Cost Assumptions'!C5,IF(A15&lt;=100,'Cost Assumptions'!D4+'Cost Assumptions'!D5,'Cost Assumptions'!E4+'Cost Assumptions'!E5)))</x:f>
        <x:v>35000</x:v>
      </x:c>
      <x:c r="E15" s="16" t="n">
        <x:f>A15*IF(A15&lt;=10,'Cost Assumptions'!B6,IF(A15&lt;=50,'Cost Assumptions'!C6,IF(A15&lt;=100,'Cost Assumptions'!D6,'Cost Assumptions'!E6)))</x:f>
        <x:v>27500</x:v>
      </x:c>
      <x:c r="F15" s="16" t="n">
        <x:f>A15*(IF(A15&lt;=10,'Cost Assumptions'!B7+'Cost Assumptions'!B8,IF(A15&lt;=50,'Cost Assumptions'!C7+'Cost Assumptions'!C8,IF(A15&lt;=100,'Cost Assumptions'!D7+'Cost Assumptions'!D8,'Cost Assumptions'!E7+'Cost Assumptions'!E8))))</x:f>
        <x:v>26400</x:v>
      </x:c>
      <x:c r="G15" s="16" t="n">
        <x:f>IF(A15&lt;=10,'Cost Assumptions'!B9,IF(A15&lt;=50,'Cost Assumptions'!C9,IF(A15&lt;=100,MAX('Cost Assumptions'!D9,C15*'Cost Assumptions'!D10),C15*'Cost Assumptions'!E10)))</x:f>
        <x:v>35626.799999999996</x:v>
      </x:c>
      <x:c r="H15" s="16" t="n">
        <x:f>C15*IF(A15&lt;=10,'Cost Assumptions'!B11,IF(A15&lt;=50,'Cost Assumptions'!C11,IF(A15&lt;=100,'Cost Assumptions'!D11,'Cost Assumptions'!E11)))</x:f>
        <x:v>7006.604</x:v>
      </x:c>
      <x:c r="I15" s="16" t="n">
        <x:f>SUM(D15:H15)</x:f>
        <x:v>131533.40399999998</x:v>
      </x:c>
      <x:c r="J15" s="16" t="n">
        <x:f>C15-I15</x:f>
        <x:v>165356.59600000002</x:v>
      </x:c>
      <x:c r="K15" s="20" t="n">
        <x:f>J15/C15</x:f>
        <x:v>0.5569624978948433</x:v>
      </x:c>
      <x:c r="L15" s="11"/>
      <x:c r="M15" s="11"/>
      <x:c r="N15" s="11"/>
      <x:c r="O15" s="11"/>
      <x:c r="P15" s="11"/>
    </x:row>
    <x:row r="16">
      <x:c r="A16" s="11" t="n">
        <x:v>120</x:v>
      </x:c>
      <x:c r="B16" s="16" t="n">
        <x:f>'Pricing Strategy'!$B$8</x:f>
        <x:v>2699</x:v>
      </x:c>
      <x:c r="C16" s="16" t="n">
        <x:f>A16*B16</x:f>
        <x:v>323880</x:v>
      </x:c>
      <x:c r="D16" s="16" t="n">
        <x:f>IF(A16&lt;=10,'Cost Assumptions'!B4+'Cost Assumptions'!B5,IF(A16&lt;=50,'Cost Assumptions'!C4+'Cost Assumptions'!C5,IF(A16&lt;=100,'Cost Assumptions'!D4+'Cost Assumptions'!D5,'Cost Assumptions'!E4+'Cost Assumptions'!E5)))</x:f>
        <x:v>35000</x:v>
      </x:c>
      <x:c r="E16" s="16" t="n">
        <x:f>A16*IF(A16&lt;=10,'Cost Assumptions'!B6,IF(A16&lt;=50,'Cost Assumptions'!C6,IF(A16&lt;=100,'Cost Assumptions'!D6,'Cost Assumptions'!E6)))</x:f>
        <x:v>30000</x:v>
      </x:c>
      <x:c r="F16" s="16" t="n">
        <x:f>A16*(IF(A16&lt;=10,'Cost Assumptions'!B7+'Cost Assumptions'!B8,IF(A16&lt;=50,'Cost Assumptions'!C7+'Cost Assumptions'!C8,IF(A16&lt;=100,'Cost Assumptions'!D7+'Cost Assumptions'!D8,'Cost Assumptions'!E7+'Cost Assumptions'!E8))))</x:f>
        <x:v>28800</x:v>
      </x:c>
      <x:c r="G16" s="16" t="n">
        <x:f>IF(A16&lt;=10,'Cost Assumptions'!B9,IF(A16&lt;=50,'Cost Assumptions'!C9,IF(A16&lt;=100,MAX('Cost Assumptions'!D9,C16*'Cost Assumptions'!D10),C16*'Cost Assumptions'!E10)))</x:f>
        <x:v>38865.6</x:v>
      </x:c>
      <x:c r="H16" s="16" t="n">
        <x:f>C16*IF(A16&lt;=10,'Cost Assumptions'!B11,IF(A16&lt;=50,'Cost Assumptions'!C11,IF(A16&lt;=100,'Cost Assumptions'!D11,'Cost Assumptions'!E11)))</x:f>
        <x:v>7643.568</x:v>
      </x:c>
      <x:c r="I16" s="16" t="n">
        <x:f>SUM(D16:H16)</x:f>
        <x:v>140309.168</x:v>
      </x:c>
      <x:c r="J16" s="16" t="n">
        <x:f>C16-I16</x:f>
        <x:v>183570.832</x:v>
      </x:c>
      <x:c r="K16" s="20" t="n">
        <x:f>J16/C16</x:f>
        <x:v>0.5667865629245399</x:v>
      </x:c>
      <x:c r="L16" s="11"/>
      <x:c r="M16" s="11"/>
      <x:c r="N16" s="11"/>
      <x:c r="O16" s="11"/>
      <x:c r="P16" s="11"/>
    </x:row>
    <x:row r="17">
      <x:c r="A17" s="11" t="n">
        <x:v>130</x:v>
      </x:c>
      <x:c r="B17" s="16" t="n">
        <x:f>'Pricing Strategy'!$B$8</x:f>
        <x:v>2699</x:v>
      </x:c>
      <x:c r="C17" s="16" t="n">
        <x:f>A17*B17</x:f>
        <x:v>350870</x:v>
      </x:c>
      <x:c r="D17" s="16" t="n">
        <x:f>IF(A17&lt;=10,'Cost Assumptions'!B4+'Cost Assumptions'!B5,IF(A17&lt;=50,'Cost Assumptions'!C4+'Cost Assumptions'!C5,IF(A17&lt;=100,'Cost Assumptions'!D4+'Cost Assumptions'!D5,'Cost Assumptions'!E4+'Cost Assumptions'!E5)))</x:f>
        <x:v>35000</x:v>
      </x:c>
      <x:c r="E17" s="16" t="n">
        <x:f>A17*IF(A17&lt;=10,'Cost Assumptions'!B6,IF(A17&lt;=50,'Cost Assumptions'!C6,IF(A17&lt;=100,'Cost Assumptions'!D6,'Cost Assumptions'!E6)))</x:f>
        <x:v>32500</x:v>
      </x:c>
      <x:c r="F17" s="16" t="n">
        <x:f>A17*(IF(A17&lt;=10,'Cost Assumptions'!B7+'Cost Assumptions'!B8,IF(A17&lt;=50,'Cost Assumptions'!C7+'Cost Assumptions'!C8,IF(A17&lt;=100,'Cost Assumptions'!D7+'Cost Assumptions'!D8,'Cost Assumptions'!E7+'Cost Assumptions'!E8))))</x:f>
        <x:v>31200</x:v>
      </x:c>
      <x:c r="G17" s="16" t="n">
        <x:f>IF(A17&lt;=10,'Cost Assumptions'!B9,IF(A17&lt;=50,'Cost Assumptions'!C9,IF(A17&lt;=100,MAX('Cost Assumptions'!D9,C17*'Cost Assumptions'!D10),C17*'Cost Assumptions'!E10)))</x:f>
        <x:v>42104.4</x:v>
      </x:c>
      <x:c r="H17" s="16" t="n">
        <x:f>C17*IF(A17&lt;=10,'Cost Assumptions'!B11,IF(A17&lt;=50,'Cost Assumptions'!C11,IF(A17&lt;=100,'Cost Assumptions'!D11,'Cost Assumptions'!E11)))</x:f>
        <x:v>8280.532</x:v>
      </x:c>
      <x:c r="I17" s="16" t="n">
        <x:f>SUM(D17:H17)</x:f>
        <x:v>149084.932</x:v>
      </x:c>
      <x:c r="J17" s="16" t="n">
        <x:f>C17-I17</x:f>
        <x:v>201785.068</x:v>
      </x:c>
      <x:c r="K17" s="20" t="n">
        <x:f>J17/C17</x:f>
        <x:v>0.5750992333342834</x:v>
      </x:c>
      <x:c r="L17" s="11"/>
      <x:c r="M17" s="11"/>
      <x:c r="N17" s="11"/>
      <x:c r="O17" s="11"/>
      <x:c r="P17" s="11"/>
    </x:row>
    <x:row r="18">
      <x:c r="A18" s="11" t="n">
        <x:v>140</x:v>
      </x:c>
      <x:c r="B18" s="16" t="n">
        <x:f>'Pricing Strategy'!$B$8</x:f>
        <x:v>2699</x:v>
      </x:c>
      <x:c r="C18" s="16" t="n">
        <x:f>A18*B18</x:f>
        <x:v>377860</x:v>
      </x:c>
      <x:c r="D18" s="16" t="n">
        <x:f>IF(A18&lt;=10,'Cost Assumptions'!B4+'Cost Assumptions'!B5,IF(A18&lt;=50,'Cost Assumptions'!C4+'Cost Assumptions'!C5,IF(A18&lt;=100,'Cost Assumptions'!D4+'Cost Assumptions'!D5,'Cost Assumptions'!E4+'Cost Assumptions'!E5)))</x:f>
        <x:v>35000</x:v>
      </x:c>
      <x:c r="E18" s="16" t="n">
        <x:f>A18*IF(A18&lt;=10,'Cost Assumptions'!B6,IF(A18&lt;=50,'Cost Assumptions'!C6,IF(A18&lt;=100,'Cost Assumptions'!D6,'Cost Assumptions'!E6)))</x:f>
        <x:v>35000</x:v>
      </x:c>
      <x:c r="F18" s="16" t="n">
        <x:f>A18*(IF(A18&lt;=10,'Cost Assumptions'!B7+'Cost Assumptions'!B8,IF(A18&lt;=50,'Cost Assumptions'!C7+'Cost Assumptions'!C8,IF(A18&lt;=100,'Cost Assumptions'!D7+'Cost Assumptions'!D8,'Cost Assumptions'!E7+'Cost Assumptions'!E8))))</x:f>
        <x:v>33600</x:v>
      </x:c>
      <x:c r="G18" s="16" t="n">
        <x:f>IF(A18&lt;=10,'Cost Assumptions'!B9,IF(A18&lt;=50,'Cost Assumptions'!C9,IF(A18&lt;=100,MAX('Cost Assumptions'!D9,C18*'Cost Assumptions'!D10),C18*'Cost Assumptions'!E10)))</x:f>
        <x:v>45343.2</x:v>
      </x:c>
      <x:c r="H18" s="16" t="n">
        <x:f>C18*IF(A18&lt;=10,'Cost Assumptions'!B11,IF(A18&lt;=50,'Cost Assumptions'!C11,IF(A18&lt;=100,'Cost Assumptions'!D11,'Cost Assumptions'!E11)))</x:f>
        <x:v>8917.496</x:v>
      </x:c>
      <x:c r="I18" s="16" t="n">
        <x:f>SUM(D18:H18)</x:f>
        <x:v>157860.696</x:v>
      </x:c>
      <x:c r="J18" s="16" t="n">
        <x:f>C18-I18</x:f>
        <x:v>219999.304</x:v>
      </x:c>
      <x:c r="K18" s="20" t="n">
        <x:f>J18/C18</x:f>
        <x:v>0.5822243793997777</x:v>
      </x:c>
      <x:c r="L18" s="11"/>
      <x:c r="M18" s="11"/>
      <x:c r="N18" s="11"/>
      <x:c r="O18" s="11"/>
      <x:c r="P18" s="11"/>
    </x:row>
    <x:row r="19">
      <x:c r="A19" s="11" t="n">
        <x:v>150</x:v>
      </x:c>
      <x:c r="B19" s="16" t="n">
        <x:f>'Pricing Strategy'!$B$8</x:f>
        <x:v>2699</x:v>
      </x:c>
      <x:c r="C19" s="16" t="n">
        <x:f>A19*B19</x:f>
        <x:v>404850</x:v>
      </x:c>
      <x:c r="D19" s="16" t="n">
        <x:f>IF(A19&lt;=10,'Cost Assumptions'!B4+'Cost Assumptions'!B5,IF(A19&lt;=50,'Cost Assumptions'!C4+'Cost Assumptions'!C5,IF(A19&lt;=100,'Cost Assumptions'!D4+'Cost Assumptions'!D5,'Cost Assumptions'!E4+'Cost Assumptions'!E5)))</x:f>
        <x:v>35000</x:v>
      </x:c>
      <x:c r="E19" s="16" t="n">
        <x:f>A19*IF(A19&lt;=10,'Cost Assumptions'!B6,IF(A19&lt;=50,'Cost Assumptions'!C6,IF(A19&lt;=100,'Cost Assumptions'!D6,'Cost Assumptions'!E6)))</x:f>
        <x:v>37500</x:v>
      </x:c>
      <x:c r="F19" s="16" t="n">
        <x:f>A19*(IF(A19&lt;=10,'Cost Assumptions'!B7+'Cost Assumptions'!B8,IF(A19&lt;=50,'Cost Assumptions'!C7+'Cost Assumptions'!C8,IF(A19&lt;=100,'Cost Assumptions'!D7+'Cost Assumptions'!D8,'Cost Assumptions'!E7+'Cost Assumptions'!E8))))</x:f>
        <x:v>36000</x:v>
      </x:c>
      <x:c r="G19" s="16" t="n">
        <x:f>IF(A19&lt;=10,'Cost Assumptions'!B9,IF(A19&lt;=50,'Cost Assumptions'!C9,IF(A19&lt;=100,MAX('Cost Assumptions'!D9,C19*'Cost Assumptions'!D10),C19*'Cost Assumptions'!E10)))</x:f>
        <x:v>48582</x:v>
      </x:c>
      <x:c r="H19" s="16" t="n">
        <x:f>C19*IF(A19&lt;=10,'Cost Assumptions'!B11,IF(A19&lt;=50,'Cost Assumptions'!C11,IF(A19&lt;=100,'Cost Assumptions'!D11,'Cost Assumptions'!E11)))</x:f>
        <x:v>9554.46</x:v>
      </x:c>
      <x:c r="I19" s="16" t="n">
        <x:f>SUM(D19:H19)</x:f>
        <x:v>166636.46</x:v>
      </x:c>
      <x:c r="J19" s="16" t="n">
        <x:f>C19-I19</x:f>
        <x:v>238213.54</x:v>
      </x:c>
      <x:c r="K19" s="20" t="n">
        <x:f>J19/C19</x:f>
        <x:v>0.5883995059898728</x:v>
      </x:c>
      <x:c r="L19" s="11"/>
      <x:c r="M19" s="11"/>
      <x:c r="N19" s="11"/>
      <x:c r="O19" s="11"/>
      <x:c r="P19" s="11"/>
    </x:row>
    <x:row r="20">
      <x:c r="A20" s="11" t="n">
        <x:v>160</x:v>
      </x:c>
      <x:c r="B20" s="16" t="n">
        <x:f>'Pricing Strategy'!$B$8</x:f>
        <x:v>2699</x:v>
      </x:c>
      <x:c r="C20" s="16" t="n">
        <x:f>A20*B20</x:f>
        <x:v>431840</x:v>
      </x:c>
      <x:c r="D20" s="16" t="n">
        <x:f>IF(A20&lt;=10,'Cost Assumptions'!B4+'Cost Assumptions'!B5,IF(A20&lt;=50,'Cost Assumptions'!C4+'Cost Assumptions'!C5,IF(A20&lt;=100,'Cost Assumptions'!D4+'Cost Assumptions'!D5,'Cost Assumptions'!E4+'Cost Assumptions'!E5)))</x:f>
        <x:v>35000</x:v>
      </x:c>
      <x:c r="E20" s="16" t="n">
        <x:f>A20*IF(A20&lt;=10,'Cost Assumptions'!B6,IF(A20&lt;=50,'Cost Assumptions'!C6,IF(A20&lt;=100,'Cost Assumptions'!D6,'Cost Assumptions'!E6)))</x:f>
        <x:v>40000</x:v>
      </x:c>
      <x:c r="F20" s="16" t="n">
        <x:f>A20*(IF(A20&lt;=10,'Cost Assumptions'!B7+'Cost Assumptions'!B8,IF(A20&lt;=50,'Cost Assumptions'!C7+'Cost Assumptions'!C8,IF(A20&lt;=100,'Cost Assumptions'!D7+'Cost Assumptions'!D8,'Cost Assumptions'!E7+'Cost Assumptions'!E8))))</x:f>
        <x:v>38400</x:v>
      </x:c>
      <x:c r="G20" s="16" t="n">
        <x:f>IF(A20&lt;=10,'Cost Assumptions'!B9,IF(A20&lt;=50,'Cost Assumptions'!C9,IF(A20&lt;=100,MAX('Cost Assumptions'!D9,C20*'Cost Assumptions'!D10),C20*'Cost Assumptions'!E10)))</x:f>
        <x:v>51820.799999999996</x:v>
      </x:c>
      <x:c r="H20" s="16" t="n">
        <x:f>C20*IF(A20&lt;=10,'Cost Assumptions'!B11,IF(A20&lt;=50,'Cost Assumptions'!C11,IF(A20&lt;=100,'Cost Assumptions'!D11,'Cost Assumptions'!E11)))</x:f>
        <x:v>10191.423999999999</x:v>
      </x:c>
      <x:c r="I20" s="16" t="n">
        <x:f>SUM(D20:H20)</x:f>
        <x:v>175412.224</x:v>
      </x:c>
      <x:c r="J20" s="16" t="n">
        <x:f>C20-I20</x:f>
        <x:v>256427.776</x:v>
      </x:c>
      <x:c r="K20" s="20" t="n">
        <x:f>J20/C20</x:f>
        <x:v>0.5938027417562061</x:v>
      </x:c>
      <x:c r="L20" s="11"/>
      <x:c r="M20" s="11"/>
      <x:c r="N20" s="11"/>
      <x:c r="O20" s="11"/>
      <x:c r="P20" s="11"/>
    </x:row>
    <x:row r="21">
      <x:c r="A21" s="11" t="n">
        <x:v>170</x:v>
      </x:c>
      <x:c r="B21" s="16" t="n">
        <x:f>'Pricing Strategy'!$B$8</x:f>
        <x:v>2699</x:v>
      </x:c>
      <x:c r="C21" s="16" t="n">
        <x:f>A21*B21</x:f>
        <x:v>458830</x:v>
      </x:c>
      <x:c r="D21" s="16" t="n">
        <x:f>IF(A21&lt;=10,'Cost Assumptions'!B4+'Cost Assumptions'!B5,IF(A21&lt;=50,'Cost Assumptions'!C4+'Cost Assumptions'!C5,IF(A21&lt;=100,'Cost Assumptions'!D4+'Cost Assumptions'!D5,'Cost Assumptions'!E4+'Cost Assumptions'!E5)))</x:f>
        <x:v>35000</x:v>
      </x:c>
      <x:c r="E21" s="16" t="n">
        <x:f>A21*IF(A21&lt;=10,'Cost Assumptions'!B6,IF(A21&lt;=50,'Cost Assumptions'!C6,IF(A21&lt;=100,'Cost Assumptions'!D6,'Cost Assumptions'!E6)))</x:f>
        <x:v>42500</x:v>
      </x:c>
      <x:c r="F21" s="16" t="n">
        <x:f>A21*(IF(A21&lt;=10,'Cost Assumptions'!B7+'Cost Assumptions'!B8,IF(A21&lt;=50,'Cost Assumptions'!C7+'Cost Assumptions'!C8,IF(A21&lt;=100,'Cost Assumptions'!D7+'Cost Assumptions'!D8,'Cost Assumptions'!E7+'Cost Assumptions'!E8))))</x:f>
        <x:v>40800</x:v>
      </x:c>
      <x:c r="G21" s="16" t="n">
        <x:f>IF(A21&lt;=10,'Cost Assumptions'!B9,IF(A21&lt;=50,'Cost Assumptions'!C9,IF(A21&lt;=100,MAX('Cost Assumptions'!D9,C21*'Cost Assumptions'!D10),C21*'Cost Assumptions'!E10)))</x:f>
        <x:v>55059.6</x:v>
      </x:c>
      <x:c r="H21" s="16" t="n">
        <x:f>C21*IF(A21&lt;=10,'Cost Assumptions'!B11,IF(A21&lt;=50,'Cost Assumptions'!C11,IF(A21&lt;=100,'Cost Assumptions'!D11,'Cost Assumptions'!E11)))</x:f>
        <x:v>10828.387999999999</x:v>
      </x:c>
      <x:c r="I21" s="16" t="n">
        <x:f>SUM(D21:H21)</x:f>
        <x:v>184187.988</x:v>
      </x:c>
      <x:c r="J21" s="16" t="n">
        <x:f>C21-I21</x:f>
        <x:v>274642.012</x:v>
      </x:c>
      <x:c r="K21" s="20" t="n">
        <x:f>J21/C21</x:f>
        <x:v>0.5985703027265</x:v>
      </x:c>
      <x:c r="L21" s="11"/>
      <x:c r="M21" s="11"/>
      <x:c r="N21" s="11"/>
      <x:c r="O21" s="11"/>
      <x:c r="P21" s="11"/>
    </x:row>
    <x:row r="22">
      <x:c r="A22" s="11" t="n">
        <x:v>180</x:v>
      </x:c>
      <x:c r="B22" s="16" t="n">
        <x:f>'Pricing Strategy'!$B$8</x:f>
        <x:v>2699</x:v>
      </x:c>
      <x:c r="C22" s="16" t="n">
        <x:f>A22*B22</x:f>
        <x:v>485820</x:v>
      </x:c>
      <x:c r="D22" s="16" t="n">
        <x:f>IF(A22&lt;=10,'Cost Assumptions'!B4+'Cost Assumptions'!B5,IF(A22&lt;=50,'Cost Assumptions'!C4+'Cost Assumptions'!C5,IF(A22&lt;=100,'Cost Assumptions'!D4+'Cost Assumptions'!D5,'Cost Assumptions'!E4+'Cost Assumptions'!E5)))</x:f>
        <x:v>35000</x:v>
      </x:c>
      <x:c r="E22" s="16" t="n">
        <x:f>A22*IF(A22&lt;=10,'Cost Assumptions'!B6,IF(A22&lt;=50,'Cost Assumptions'!C6,IF(A22&lt;=100,'Cost Assumptions'!D6,'Cost Assumptions'!E6)))</x:f>
        <x:v>45000</x:v>
      </x:c>
      <x:c r="F22" s="16" t="n">
        <x:f>A22*(IF(A22&lt;=10,'Cost Assumptions'!B7+'Cost Assumptions'!B8,IF(A22&lt;=50,'Cost Assumptions'!C7+'Cost Assumptions'!C8,IF(A22&lt;=100,'Cost Assumptions'!D7+'Cost Assumptions'!D8,'Cost Assumptions'!E7+'Cost Assumptions'!E8))))</x:f>
        <x:v>43200</x:v>
      </x:c>
      <x:c r="G22" s="16" t="n">
        <x:f>IF(A22&lt;=10,'Cost Assumptions'!B9,IF(A22&lt;=50,'Cost Assumptions'!C9,IF(A22&lt;=100,MAX('Cost Assumptions'!D9,C22*'Cost Assumptions'!D10),C22*'Cost Assumptions'!E10)))</x:f>
        <x:v>58298.4</x:v>
      </x:c>
      <x:c r="H22" s="16" t="n">
        <x:f>C22*IF(A22&lt;=10,'Cost Assumptions'!B11,IF(A22&lt;=50,'Cost Assumptions'!C11,IF(A22&lt;=100,'Cost Assumptions'!D11,'Cost Assumptions'!E11)))</x:f>
        <x:v>11465.351999999999</x:v>
      </x:c>
      <x:c r="I22" s="16" t="n">
        <x:f>SUM(D22:H22)</x:f>
        <x:v>192963.75199999998</x:v>
      </x:c>
      <x:c r="J22" s="16" t="n">
        <x:f>C22-I22</x:f>
        <x:v>292856.248</x:v>
      </x:c>
      <x:c r="K22" s="20" t="n">
        <x:f>J22/C22</x:f>
        <x:v>0.6028081347000948</x:v>
      </x:c>
      <x:c r="L22" s="11"/>
      <x:c r="M22" s="11"/>
      <x:c r="N22" s="11"/>
      <x:c r="O22" s="11"/>
      <x:c r="P22" s="11"/>
    </x:row>
    <x:row r="23">
      <x:c r="A23" s="11" t="n">
        <x:v>190</x:v>
      </x:c>
      <x:c r="B23" s="16" t="n">
        <x:f>'Pricing Strategy'!$B$8</x:f>
        <x:v>2699</x:v>
      </x:c>
      <x:c r="C23" s="16" t="n">
        <x:f>A23*B23</x:f>
        <x:v>512810</x:v>
      </x:c>
      <x:c r="D23" s="16" t="n">
        <x:f>IF(A23&lt;=10,'Cost Assumptions'!B4+'Cost Assumptions'!B5,IF(A23&lt;=50,'Cost Assumptions'!C4+'Cost Assumptions'!C5,IF(A23&lt;=100,'Cost Assumptions'!D4+'Cost Assumptions'!D5,'Cost Assumptions'!E4+'Cost Assumptions'!E5)))</x:f>
        <x:v>35000</x:v>
      </x:c>
      <x:c r="E23" s="16" t="n">
        <x:f>A23*IF(A23&lt;=10,'Cost Assumptions'!B6,IF(A23&lt;=50,'Cost Assumptions'!C6,IF(A23&lt;=100,'Cost Assumptions'!D6,'Cost Assumptions'!E6)))</x:f>
        <x:v>47500</x:v>
      </x:c>
      <x:c r="F23" s="16" t="n">
        <x:f>A23*(IF(A23&lt;=10,'Cost Assumptions'!B7+'Cost Assumptions'!B8,IF(A23&lt;=50,'Cost Assumptions'!C7+'Cost Assumptions'!C8,IF(A23&lt;=100,'Cost Assumptions'!D7+'Cost Assumptions'!D8,'Cost Assumptions'!E7+'Cost Assumptions'!E8))))</x:f>
        <x:v>45600</x:v>
      </x:c>
      <x:c r="G23" s="16" t="n">
        <x:f>IF(A23&lt;=10,'Cost Assumptions'!B9,IF(A23&lt;=50,'Cost Assumptions'!C9,IF(A23&lt;=100,MAX('Cost Assumptions'!D9,C23*'Cost Assumptions'!D10),C23*'Cost Assumptions'!E10)))</x:f>
        <x:v>61537.2</x:v>
      </x:c>
      <x:c r="H23" s="16" t="n">
        <x:f>C23*IF(A23&lt;=10,'Cost Assumptions'!B11,IF(A23&lt;=50,'Cost Assumptions'!C11,IF(A23&lt;=100,'Cost Assumptions'!D11,'Cost Assumptions'!E11)))</x:f>
        <x:v>12102.315999999999</x:v>
      </x:c>
      <x:c r="I23" s="16" t="n">
        <x:f>SUM(D23:H23)</x:f>
        <x:v>201739.516</x:v>
      </x:c>
      <x:c r="J23" s="16" t="n">
        <x:f>C23-I23</x:f>
        <x:v>311070.484</x:v>
      </x:c>
      <x:c r="K23" s="20" t="n">
        <x:f>J23/C23</x:f>
        <x:v>0.6065998790975214</x:v>
      </x:c>
      <x:c r="L23" s="11"/>
      <x:c r="M23" s="11"/>
      <x:c r="N23" s="11"/>
      <x:c r="O23" s="11"/>
      <x:c r="P23" s="11"/>
    </x:row>
    <x:row r="24">
      <x:c r="A24" s="11" t="n">
        <x:v>200</x:v>
      </x:c>
      <x:c r="B24" s="16" t="n">
        <x:f>'Pricing Strategy'!$B$8</x:f>
        <x:v>2699</x:v>
      </x:c>
      <x:c r="C24" s="16" t="n">
        <x:f>A24*B24</x:f>
        <x:v>539800</x:v>
      </x:c>
      <x:c r="D24" s="16" t="n">
        <x:f>IF(A24&lt;=10,'Cost Assumptions'!B4+'Cost Assumptions'!B5,IF(A24&lt;=50,'Cost Assumptions'!C4+'Cost Assumptions'!C5,IF(A24&lt;=100,'Cost Assumptions'!D4+'Cost Assumptions'!D5,'Cost Assumptions'!E4+'Cost Assumptions'!E5)))</x:f>
        <x:v>35000</x:v>
      </x:c>
      <x:c r="E24" s="16" t="n">
        <x:f>A24*IF(A24&lt;=10,'Cost Assumptions'!B6,IF(A24&lt;=50,'Cost Assumptions'!C6,IF(A24&lt;=100,'Cost Assumptions'!D6,'Cost Assumptions'!E6)))</x:f>
        <x:v>50000</x:v>
      </x:c>
      <x:c r="F24" s="16" t="n">
        <x:f>A24*(IF(A24&lt;=10,'Cost Assumptions'!B7+'Cost Assumptions'!B8,IF(A24&lt;=50,'Cost Assumptions'!C7+'Cost Assumptions'!C8,IF(A24&lt;=100,'Cost Assumptions'!D7+'Cost Assumptions'!D8,'Cost Assumptions'!E7+'Cost Assumptions'!E8))))</x:f>
        <x:v>48000</x:v>
      </x:c>
      <x:c r="G24" s="16" t="n">
        <x:f>IF(A24&lt;=10,'Cost Assumptions'!B9,IF(A24&lt;=50,'Cost Assumptions'!C9,IF(A24&lt;=100,MAX('Cost Assumptions'!D9,C24*'Cost Assumptions'!D10),C24*'Cost Assumptions'!E10)))</x:f>
        <x:v>64776</x:v>
      </x:c>
      <x:c r="H24" s="16" t="n">
        <x:f>C24*IF(A24&lt;=10,'Cost Assumptions'!B11,IF(A24&lt;=50,'Cost Assumptions'!C11,IF(A24&lt;=100,'Cost Assumptions'!D11,'Cost Assumptions'!E11)))</x:f>
        <x:v>12739.279999999999</x:v>
      </x:c>
      <x:c r="I24" s="16" t="n">
        <x:f>SUM(D24:H24)</x:f>
        <x:v>210515.28</x:v>
      </x:c>
      <x:c r="J24" s="16" t="n">
        <x:f>C24-I24</x:f>
        <x:v>329284.72</x:v>
      </x:c>
      <x:c r="K24" s="20" t="n">
        <x:f>J24/C24</x:f>
        <x:v>0.6100124490552056</x:v>
      </x:c>
      <x:c r="L24" s="11"/>
      <x:c r="M24" s="11"/>
      <x:c r="N24" s="11"/>
      <x:c r="O24" s="11"/>
      <x:c r="P24" s="11"/>
    </x:row>
    <x:row r="25">
      <x:c r="A25" s="11" t="n">
        <x:v>210</x:v>
      </x:c>
      <x:c r="B25" s="16" t="n">
        <x:f>'Pricing Strategy'!$B$8</x:f>
        <x:v>2699</x:v>
      </x:c>
      <x:c r="C25" s="16" t="n">
        <x:f>A25*B25</x:f>
        <x:v>566790</x:v>
      </x:c>
      <x:c r="D25" s="16" t="n">
        <x:f>IF(A25&lt;=10,'Cost Assumptions'!B4+'Cost Assumptions'!B5,IF(A25&lt;=50,'Cost Assumptions'!C4+'Cost Assumptions'!C5,IF(A25&lt;=100,'Cost Assumptions'!D4+'Cost Assumptions'!D5,'Cost Assumptions'!E4+'Cost Assumptions'!E5)))</x:f>
        <x:v>35000</x:v>
      </x:c>
      <x:c r="E25" s="16" t="n">
        <x:f>A25*IF(A25&lt;=10,'Cost Assumptions'!B6,IF(A25&lt;=50,'Cost Assumptions'!C6,IF(A25&lt;=100,'Cost Assumptions'!D6,'Cost Assumptions'!E6)))</x:f>
        <x:v>52500</x:v>
      </x:c>
      <x:c r="F25" s="16" t="n">
        <x:f>A25*(IF(A25&lt;=10,'Cost Assumptions'!B7+'Cost Assumptions'!B8,IF(A25&lt;=50,'Cost Assumptions'!C7+'Cost Assumptions'!C8,IF(A25&lt;=100,'Cost Assumptions'!D7+'Cost Assumptions'!D8,'Cost Assumptions'!E7+'Cost Assumptions'!E8))))</x:f>
        <x:v>50400</x:v>
      </x:c>
      <x:c r="G25" s="16" t="n">
        <x:f>IF(A25&lt;=10,'Cost Assumptions'!B9,IF(A25&lt;=50,'Cost Assumptions'!C9,IF(A25&lt;=100,MAX('Cost Assumptions'!D9,C25*'Cost Assumptions'!D10),C25*'Cost Assumptions'!E10)))</x:f>
        <x:v>68014.8</x:v>
      </x:c>
      <x:c r="H25" s="16" t="n">
        <x:f>C25*IF(A25&lt;=10,'Cost Assumptions'!B11,IF(A25&lt;=50,'Cost Assumptions'!C11,IF(A25&lt;=100,'Cost Assumptions'!D11,'Cost Assumptions'!E11)))</x:f>
        <x:v>13376.244</x:v>
      </x:c>
      <x:c r="I25" s="16" t="n">
        <x:f>SUM(D25:H25)</x:f>
        <x:v>219291.044</x:v>
      </x:c>
      <x:c r="J25" s="16" t="n">
        <x:f>C25-I25</x:f>
        <x:v>347498.956</x:v>
      </x:c>
      <x:c r="K25" s="20" t="n">
        <x:f>J25/C25</x:f>
        <x:v>0.6131000123502532</x:v>
      </x:c>
      <x:c r="L25" s="11"/>
      <x:c r="M25" s="11"/>
      <x:c r="N25" s="11"/>
      <x:c r="O25" s="11"/>
      <x:c r="P25" s="11"/>
    </x:row>
    <x:row r="26">
      <x:c r="A26" s="11" t="n">
        <x:v>220</x:v>
      </x:c>
      <x:c r="B26" s="16" t="n">
        <x:f>'Pricing Strategy'!$B$8</x:f>
        <x:v>2699</x:v>
      </x:c>
      <x:c r="C26" s="16" t="n">
        <x:f>A26*B26</x:f>
        <x:v>593780</x:v>
      </x:c>
      <x:c r="D26" s="16" t="n">
        <x:f>IF(A26&lt;=10,'Cost Assumptions'!B4+'Cost Assumptions'!B5,IF(A26&lt;=50,'Cost Assumptions'!C4+'Cost Assumptions'!C5,IF(A26&lt;=100,'Cost Assumptions'!D4+'Cost Assumptions'!D5,'Cost Assumptions'!E4+'Cost Assumptions'!E5)))</x:f>
        <x:v>35000</x:v>
      </x:c>
      <x:c r="E26" s="16" t="n">
        <x:f>A26*IF(A26&lt;=10,'Cost Assumptions'!B6,IF(A26&lt;=50,'Cost Assumptions'!C6,IF(A26&lt;=100,'Cost Assumptions'!D6,'Cost Assumptions'!E6)))</x:f>
        <x:v>55000</x:v>
      </x:c>
      <x:c r="F26" s="16" t="n">
        <x:f>A26*(IF(A26&lt;=10,'Cost Assumptions'!B7+'Cost Assumptions'!B8,IF(A26&lt;=50,'Cost Assumptions'!C7+'Cost Assumptions'!C8,IF(A26&lt;=100,'Cost Assumptions'!D7+'Cost Assumptions'!D8,'Cost Assumptions'!E7+'Cost Assumptions'!E8))))</x:f>
        <x:v>52800</x:v>
      </x:c>
      <x:c r="G26" s="16" t="n">
        <x:f>IF(A26&lt;=10,'Cost Assumptions'!B9,IF(A26&lt;=50,'Cost Assumptions'!C9,IF(A26&lt;=100,MAX('Cost Assumptions'!D9,C26*'Cost Assumptions'!D10),C26*'Cost Assumptions'!E10)))</x:f>
        <x:v>71253.59999999999</x:v>
      </x:c>
      <x:c r="H26" s="16" t="n">
        <x:f>C26*IF(A26&lt;=10,'Cost Assumptions'!B11,IF(A26&lt;=50,'Cost Assumptions'!C11,IF(A26&lt;=100,'Cost Assumptions'!D11,'Cost Assumptions'!E11)))</x:f>
        <x:v>14013.208</x:v>
      </x:c>
      <x:c r="I26" s="16" t="n">
        <x:f>SUM(D26:H26)</x:f>
        <x:v>228066.808</x:v>
      </x:c>
      <x:c r="J26" s="16" t="n">
        <x:f>C26-I26</x:f>
        <x:v>365713.19200000004</x:v>
      </x:c>
      <x:c r="K26" s="20" t="n">
        <x:f>J26/C26</x:f>
        <x:v>0.6159068880730237</x:v>
      </x:c>
      <x:c r="L26" s="11"/>
      <x:c r="M26" s="11"/>
      <x:c r="N26" s="11"/>
      <x:c r="O26" s="11"/>
      <x:c r="P26" s="11"/>
    </x:row>
    <x:row r="27">
      <x:c r="A27" s="11" t="n">
        <x:v>230</x:v>
      </x:c>
      <x:c r="B27" s="16" t="n">
        <x:f>'Pricing Strategy'!$B$8</x:f>
        <x:v>2699</x:v>
      </x:c>
      <x:c r="C27" s="16" t="n">
        <x:f>A27*B27</x:f>
        <x:v>620770</x:v>
      </x:c>
      <x:c r="D27" s="16" t="n">
        <x:f>IF(A27&lt;=10,'Cost Assumptions'!B4+'Cost Assumptions'!B5,IF(A27&lt;=50,'Cost Assumptions'!C4+'Cost Assumptions'!C5,IF(A27&lt;=100,'Cost Assumptions'!D4+'Cost Assumptions'!D5,'Cost Assumptions'!E4+'Cost Assumptions'!E5)))</x:f>
        <x:v>35000</x:v>
      </x:c>
      <x:c r="E27" s="16" t="n">
        <x:f>A27*IF(A27&lt;=10,'Cost Assumptions'!B6,IF(A27&lt;=50,'Cost Assumptions'!C6,IF(A27&lt;=100,'Cost Assumptions'!D6,'Cost Assumptions'!E6)))</x:f>
        <x:v>57500</x:v>
      </x:c>
      <x:c r="F27" s="16" t="n">
        <x:f>A27*(IF(A27&lt;=10,'Cost Assumptions'!B7+'Cost Assumptions'!B8,IF(A27&lt;=50,'Cost Assumptions'!C7+'Cost Assumptions'!C8,IF(A27&lt;=100,'Cost Assumptions'!D7+'Cost Assumptions'!D8,'Cost Assumptions'!E7+'Cost Assumptions'!E8))))</x:f>
        <x:v>55200</x:v>
      </x:c>
      <x:c r="G27" s="16" t="n">
        <x:f>IF(A27&lt;=10,'Cost Assumptions'!B9,IF(A27&lt;=50,'Cost Assumptions'!C9,IF(A27&lt;=100,MAX('Cost Assumptions'!D9,C27*'Cost Assumptions'!D10),C27*'Cost Assumptions'!E10)))</x:f>
        <x:v>74492.4</x:v>
      </x:c>
      <x:c r="H27" s="16" t="n">
        <x:f>C27*IF(A27&lt;=10,'Cost Assumptions'!B11,IF(A27&lt;=50,'Cost Assumptions'!C11,IF(A27&lt;=100,'Cost Assumptions'!D11,'Cost Assumptions'!E11)))</x:f>
        <x:v>14650.172</x:v>
      </x:c>
      <x:c r="I27" s="16" t="n">
        <x:f>SUM(D27:H27)</x:f>
        <x:v>236842.572</x:v>
      </x:c>
      <x:c r="J27" s="16" t="n">
        <x:f>C27-I27</x:f>
        <x:v>383927.428</x:v>
      </x:c>
      <x:c r="K27" s="20" t="n">
        <x:f>J27/C27</x:f>
        <x:v>0.6184696876459881</x:v>
      </x:c>
      <x:c r="L27" s="11"/>
      <x:c r="M27" s="11"/>
      <x:c r="N27" s="11"/>
      <x:c r="O27" s="11"/>
      <x:c r="P27" s="11"/>
    </x:row>
    <x:row r="28">
      <x:c r="A28" s="11" t="n">
        <x:v>240</x:v>
      </x:c>
      <x:c r="B28" s="16" t="n">
        <x:f>'Pricing Strategy'!$B$8</x:f>
        <x:v>2699</x:v>
      </x:c>
      <x:c r="C28" s="16" t="n">
        <x:f>A28*B28</x:f>
        <x:v>647760</x:v>
      </x:c>
      <x:c r="D28" s="16" t="n">
        <x:f>IF(A28&lt;=10,'Cost Assumptions'!B4+'Cost Assumptions'!B5,IF(A28&lt;=50,'Cost Assumptions'!C4+'Cost Assumptions'!C5,IF(A28&lt;=100,'Cost Assumptions'!D4+'Cost Assumptions'!D5,'Cost Assumptions'!E4+'Cost Assumptions'!E5)))</x:f>
        <x:v>35000</x:v>
      </x:c>
      <x:c r="E28" s="16" t="n">
        <x:f>A28*IF(A28&lt;=10,'Cost Assumptions'!B6,IF(A28&lt;=50,'Cost Assumptions'!C6,IF(A28&lt;=100,'Cost Assumptions'!D6,'Cost Assumptions'!E6)))</x:f>
        <x:v>60000</x:v>
      </x:c>
      <x:c r="F28" s="16" t="n">
        <x:f>A28*(IF(A28&lt;=10,'Cost Assumptions'!B7+'Cost Assumptions'!B8,IF(A28&lt;=50,'Cost Assumptions'!C7+'Cost Assumptions'!C8,IF(A28&lt;=100,'Cost Assumptions'!D7+'Cost Assumptions'!D8,'Cost Assumptions'!E7+'Cost Assumptions'!E8))))</x:f>
        <x:v>57600</x:v>
      </x:c>
      <x:c r="G28" s="16" t="n">
        <x:f>IF(A28&lt;=10,'Cost Assumptions'!B9,IF(A28&lt;=50,'Cost Assumptions'!C9,IF(A28&lt;=100,MAX('Cost Assumptions'!D9,C28*'Cost Assumptions'!D10),C28*'Cost Assumptions'!E10)))</x:f>
        <x:v>77731.2</x:v>
      </x:c>
      <x:c r="H28" s="16" t="n">
        <x:f>C28*IF(A28&lt;=10,'Cost Assumptions'!B11,IF(A28&lt;=50,'Cost Assumptions'!C11,IF(A28&lt;=100,'Cost Assumptions'!D11,'Cost Assumptions'!E11)))</x:f>
        <x:v>15287.136</x:v>
      </x:c>
      <x:c r="I28" s="16" t="n">
        <x:f>SUM(D28:H28)</x:f>
        <x:v>245618.336</x:v>
      </x:c>
      <x:c r="J28" s="16" t="n">
        <x:f>C28-I28</x:f>
        <x:v>402141.664</x:v>
      </x:c>
      <x:c r="K28" s="20" t="n">
        <x:f>J28/C28</x:f>
        <x:v>0.620818920587872</x:v>
      </x:c>
      <x:c r="L28" s="11"/>
      <x:c r="M28" s="11"/>
      <x:c r="N28" s="11"/>
      <x:c r="O28" s="11"/>
      <x:c r="P28" s="11"/>
    </x:row>
    <x:row r="29">
      <x:c r="A29" s="11" t="n">
        <x:v>250</x:v>
      </x:c>
      <x:c r="B29" s="16" t="n">
        <x:f>'Pricing Strategy'!$B$8</x:f>
        <x:v>2699</x:v>
      </x:c>
      <x:c r="C29" s="16" t="n">
        <x:f>A29*B29</x:f>
        <x:v>674750</x:v>
      </x:c>
      <x:c r="D29" s="16" t="n">
        <x:f>IF(A29&lt;=10,'Cost Assumptions'!B4+'Cost Assumptions'!B5,IF(A29&lt;=50,'Cost Assumptions'!C4+'Cost Assumptions'!C5,IF(A29&lt;=100,'Cost Assumptions'!D4+'Cost Assumptions'!D5,'Cost Assumptions'!E4+'Cost Assumptions'!E5)))</x:f>
        <x:v>35000</x:v>
      </x:c>
      <x:c r="E29" s="16" t="n">
        <x:f>A29*IF(A29&lt;=10,'Cost Assumptions'!B6,IF(A29&lt;=50,'Cost Assumptions'!C6,IF(A29&lt;=100,'Cost Assumptions'!D6,'Cost Assumptions'!E6)))</x:f>
        <x:v>62500</x:v>
      </x:c>
      <x:c r="F29" s="16" t="n">
        <x:f>A29*(IF(A29&lt;=10,'Cost Assumptions'!B7+'Cost Assumptions'!B8,IF(A29&lt;=50,'Cost Assumptions'!C7+'Cost Assumptions'!C8,IF(A29&lt;=100,'Cost Assumptions'!D7+'Cost Assumptions'!D8,'Cost Assumptions'!E7+'Cost Assumptions'!E8))))</x:f>
        <x:v>60000</x:v>
      </x:c>
      <x:c r="G29" s="16" t="n">
        <x:f>IF(A29&lt;=10,'Cost Assumptions'!B9,IF(A29&lt;=50,'Cost Assumptions'!C9,IF(A29&lt;=100,MAX('Cost Assumptions'!D9,C29*'Cost Assumptions'!D10),C29*'Cost Assumptions'!E10)))</x:f>
        <x:v>80970</x:v>
      </x:c>
      <x:c r="H29" s="16" t="n">
        <x:f>C29*IF(A29&lt;=10,'Cost Assumptions'!B11,IF(A29&lt;=50,'Cost Assumptions'!C11,IF(A29&lt;=100,'Cost Assumptions'!D11,'Cost Assumptions'!E11)))</x:f>
        <x:v>15924.1</x:v>
      </x:c>
      <x:c r="I29" s="16" t="n">
        <x:f>SUM(D29:H29)</x:f>
        <x:v>254394.1</x:v>
      </x:c>
      <x:c r="J29" s="16" t="n">
        <x:f>C29-I29</x:f>
        <x:v>420355.9</x:v>
      </x:c>
      <x:c r="K29" s="20" t="n">
        <x:f>J29/C29</x:f>
        <x:v>0.6229802148944054</x:v>
      </x:c>
      <x:c r="L29" s="11"/>
      <x:c r="M29" s="11"/>
      <x:c r="N29" s="11"/>
      <x:c r="O29" s="11"/>
      <x:c r="P29" s="11"/>
    </x:row>
    <x:row r="30">
      <x:c r="A30" s="11" t="n">
        <x:v>260</x:v>
      </x:c>
      <x:c r="B30" s="16" t="n">
        <x:f>'Pricing Strategy'!$B$8</x:f>
        <x:v>2699</x:v>
      </x:c>
      <x:c r="C30" s="16" t="n">
        <x:f>A30*B30</x:f>
        <x:v>701740</x:v>
      </x:c>
      <x:c r="D30" s="16" t="n">
        <x:f>IF(A30&lt;=10,'Cost Assumptions'!B4+'Cost Assumptions'!B5,IF(A30&lt;=50,'Cost Assumptions'!C4+'Cost Assumptions'!C5,IF(A30&lt;=100,'Cost Assumptions'!D4+'Cost Assumptions'!D5,'Cost Assumptions'!E4+'Cost Assumptions'!E5)))</x:f>
        <x:v>35000</x:v>
      </x:c>
      <x:c r="E30" s="16" t="n">
        <x:f>A30*IF(A30&lt;=10,'Cost Assumptions'!B6,IF(A30&lt;=50,'Cost Assumptions'!C6,IF(A30&lt;=100,'Cost Assumptions'!D6,'Cost Assumptions'!E6)))</x:f>
        <x:v>65000</x:v>
      </x:c>
      <x:c r="F30" s="16" t="n">
        <x:f>A30*(IF(A30&lt;=10,'Cost Assumptions'!B7+'Cost Assumptions'!B8,IF(A30&lt;=50,'Cost Assumptions'!C7+'Cost Assumptions'!C8,IF(A30&lt;=100,'Cost Assumptions'!D7+'Cost Assumptions'!D8,'Cost Assumptions'!E7+'Cost Assumptions'!E8))))</x:f>
        <x:v>62400</x:v>
      </x:c>
      <x:c r="G30" s="16" t="n">
        <x:f>IF(A30&lt;=10,'Cost Assumptions'!B9,IF(A30&lt;=50,'Cost Assumptions'!C9,IF(A30&lt;=100,MAX('Cost Assumptions'!D9,C30*'Cost Assumptions'!D10),C30*'Cost Assumptions'!E10)))</x:f>
        <x:v>84208.8</x:v>
      </x:c>
      <x:c r="H30" s="16" t="n">
        <x:f>C30*IF(A30&lt;=10,'Cost Assumptions'!B11,IF(A30&lt;=50,'Cost Assumptions'!C11,IF(A30&lt;=100,'Cost Assumptions'!D11,'Cost Assumptions'!E11)))</x:f>
        <x:v>16561.064</x:v>
      </x:c>
      <x:c r="I30" s="16" t="n">
        <x:f>SUM(D30:H30)</x:f>
        <x:v>263169.864</x:v>
      </x:c>
      <x:c r="J30" s="16" t="n">
        <x:f>C30-I30</x:f>
        <x:v>438570.136</x:v>
      </x:c>
      <x:c r="K30" s="20" t="n">
        <x:f>J30/C30</x:f>
        <x:v>0.6249752557927437</x:v>
      </x:c>
      <x:c r="L30" s="11"/>
      <x:c r="M30" s="11"/>
      <x:c r="N30" s="11"/>
      <x:c r="O30" s="11"/>
      <x:c r="P30" s="11"/>
    </x:row>
    <x:row r="31">
      <x:c r="A31" s="11" t="n">
        <x:v>270</x:v>
      </x:c>
      <x:c r="B31" s="16" t="n">
        <x:f>'Pricing Strategy'!$B$8</x:f>
        <x:v>2699</x:v>
      </x:c>
      <x:c r="C31" s="16" t="n">
        <x:f>A31*B31</x:f>
        <x:v>728730</x:v>
      </x:c>
      <x:c r="D31" s="16" t="n">
        <x:f>IF(A31&lt;=10,'Cost Assumptions'!B4+'Cost Assumptions'!B5,IF(A31&lt;=50,'Cost Assumptions'!C4+'Cost Assumptions'!C5,IF(A31&lt;=100,'Cost Assumptions'!D4+'Cost Assumptions'!D5,'Cost Assumptions'!E4+'Cost Assumptions'!E5)))</x:f>
        <x:v>35000</x:v>
      </x:c>
      <x:c r="E31" s="16" t="n">
        <x:f>A31*IF(A31&lt;=10,'Cost Assumptions'!B6,IF(A31&lt;=50,'Cost Assumptions'!C6,IF(A31&lt;=100,'Cost Assumptions'!D6,'Cost Assumptions'!E6)))</x:f>
        <x:v>67500</x:v>
      </x:c>
      <x:c r="F31" s="16" t="n">
        <x:f>A31*(IF(A31&lt;=10,'Cost Assumptions'!B7+'Cost Assumptions'!B8,IF(A31&lt;=50,'Cost Assumptions'!C7+'Cost Assumptions'!C8,IF(A31&lt;=100,'Cost Assumptions'!D7+'Cost Assumptions'!D8,'Cost Assumptions'!E7+'Cost Assumptions'!E8))))</x:f>
        <x:v>64800</x:v>
      </x:c>
      <x:c r="G31" s="16" t="n">
        <x:f>IF(A31&lt;=10,'Cost Assumptions'!B9,IF(A31&lt;=50,'Cost Assumptions'!C9,IF(A31&lt;=100,MAX('Cost Assumptions'!D9,C31*'Cost Assumptions'!D10),C31*'Cost Assumptions'!E10)))</x:f>
        <x:v>87447.59999999999</x:v>
      </x:c>
      <x:c r="H31" s="16" t="n">
        <x:f>C31*IF(A31&lt;=10,'Cost Assumptions'!B11,IF(A31&lt;=50,'Cost Assumptions'!C11,IF(A31&lt;=100,'Cost Assumptions'!D11,'Cost Assumptions'!E11)))</x:f>
        <x:v>17198.028</x:v>
      </x:c>
      <x:c r="I31" s="16" t="n">
        <x:f>SUM(D31:H31)</x:f>
        <x:v>271945.62799999997</x:v>
      </x:c>
      <x:c r="J31" s="16" t="n">
        <x:f>C31-I31</x:f>
        <x:v>456784.37200000003</x:v>
      </x:c>
      <x:c r="K31" s="20" t="n">
        <x:f>J31/C31</x:f>
        <x:v>0.6268225158837979</x:v>
      </x:c>
      <x:c r="L31" s="11"/>
      <x:c r="M31" s="11"/>
      <x:c r="N31" s="11"/>
      <x:c r="O31" s="11"/>
      <x:c r="P31" s="11"/>
    </x:row>
    <x:row r="32">
      <x:c r="A32" s="11" t="n">
        <x:v>280</x:v>
      </x:c>
      <x:c r="B32" s="16" t="n">
        <x:f>'Pricing Strategy'!$B$8</x:f>
        <x:v>2699</x:v>
      </x:c>
      <x:c r="C32" s="16" t="n">
        <x:f>A32*B32</x:f>
        <x:v>755720</x:v>
      </x:c>
      <x:c r="D32" s="16" t="n">
        <x:f>IF(A32&lt;=10,'Cost Assumptions'!B4+'Cost Assumptions'!B5,IF(A32&lt;=50,'Cost Assumptions'!C4+'Cost Assumptions'!C5,IF(A32&lt;=100,'Cost Assumptions'!D4+'Cost Assumptions'!D5,'Cost Assumptions'!E4+'Cost Assumptions'!E5)))</x:f>
        <x:v>35000</x:v>
      </x:c>
      <x:c r="E32" s="16" t="n">
        <x:f>A32*IF(A32&lt;=10,'Cost Assumptions'!B6,IF(A32&lt;=50,'Cost Assumptions'!C6,IF(A32&lt;=100,'Cost Assumptions'!D6,'Cost Assumptions'!E6)))</x:f>
        <x:v>70000</x:v>
      </x:c>
      <x:c r="F32" s="16" t="n">
        <x:f>A32*(IF(A32&lt;=10,'Cost Assumptions'!B7+'Cost Assumptions'!B8,IF(A32&lt;=50,'Cost Assumptions'!C7+'Cost Assumptions'!C8,IF(A32&lt;=100,'Cost Assumptions'!D7+'Cost Assumptions'!D8,'Cost Assumptions'!E7+'Cost Assumptions'!E8))))</x:f>
        <x:v>67200</x:v>
      </x:c>
      <x:c r="G32" s="16" t="n">
        <x:f>IF(A32&lt;=10,'Cost Assumptions'!B9,IF(A32&lt;=50,'Cost Assumptions'!C9,IF(A32&lt;=100,MAX('Cost Assumptions'!D9,C32*'Cost Assumptions'!D10),C32*'Cost Assumptions'!E10)))</x:f>
        <x:v>90686.4</x:v>
      </x:c>
      <x:c r="H32" s="16" t="n">
        <x:f>C32*IF(A32&lt;=10,'Cost Assumptions'!B11,IF(A32&lt;=50,'Cost Assumptions'!C11,IF(A32&lt;=100,'Cost Assumptions'!D11,'Cost Assumptions'!E11)))</x:f>
        <x:v>17834.992</x:v>
      </x:c>
      <x:c r="I32" s="16" t="n">
        <x:f>SUM(D32:H32)</x:f>
        <x:v>280721.392</x:v>
      </x:c>
      <x:c r="J32" s="16" t="n">
        <x:f>C32-I32</x:f>
        <x:v>474998.608</x:v>
      </x:c>
      <x:c r="K32" s="20" t="n">
        <x:f>J32/C32</x:f>
        <x:v>0.6285378288254909</x:v>
      </x:c>
      <x:c r="L32" s="11"/>
      <x:c r="M32" s="11"/>
      <x:c r="N32" s="11"/>
      <x:c r="O32" s="11"/>
      <x:c r="P32" s="11"/>
    </x:row>
    <x:row r="33">
      <x:c r="A33" s="11" t="n">
        <x:v>290</x:v>
      </x:c>
      <x:c r="B33" s="16" t="n">
        <x:f>'Pricing Strategy'!$B$8</x:f>
        <x:v>2699</x:v>
      </x:c>
      <x:c r="C33" s="16" t="n">
        <x:f>A33*B33</x:f>
        <x:v>782710</x:v>
      </x:c>
      <x:c r="D33" s="16" t="n">
        <x:f>IF(A33&lt;=10,'Cost Assumptions'!B4+'Cost Assumptions'!B5,IF(A33&lt;=50,'Cost Assumptions'!C4+'Cost Assumptions'!C5,IF(A33&lt;=100,'Cost Assumptions'!D4+'Cost Assumptions'!D5,'Cost Assumptions'!E4+'Cost Assumptions'!E5)))</x:f>
        <x:v>35000</x:v>
      </x:c>
      <x:c r="E33" s="16" t="n">
        <x:f>A33*IF(A33&lt;=10,'Cost Assumptions'!B6,IF(A33&lt;=50,'Cost Assumptions'!C6,IF(A33&lt;=100,'Cost Assumptions'!D6,'Cost Assumptions'!E6)))</x:f>
        <x:v>72500</x:v>
      </x:c>
      <x:c r="F33" s="16" t="n">
        <x:f>A33*(IF(A33&lt;=10,'Cost Assumptions'!B7+'Cost Assumptions'!B8,IF(A33&lt;=50,'Cost Assumptions'!C7+'Cost Assumptions'!C8,IF(A33&lt;=100,'Cost Assumptions'!D7+'Cost Assumptions'!D8,'Cost Assumptions'!E7+'Cost Assumptions'!E8))))</x:f>
        <x:v>69600</x:v>
      </x:c>
      <x:c r="G33" s="16" t="n">
        <x:f>IF(A33&lt;=10,'Cost Assumptions'!B9,IF(A33&lt;=50,'Cost Assumptions'!C9,IF(A33&lt;=100,MAX('Cost Assumptions'!D9,C33*'Cost Assumptions'!D10),C33*'Cost Assumptions'!E10)))</x:f>
        <x:v>93925.2</x:v>
      </x:c>
      <x:c r="H33" s="16" t="n">
        <x:f>C33*IF(A33&lt;=10,'Cost Assumptions'!B11,IF(A33&lt;=50,'Cost Assumptions'!C11,IF(A33&lt;=100,'Cost Assumptions'!D11,'Cost Assumptions'!E11)))</x:f>
        <x:v>18471.956</x:v>
      </x:c>
      <x:c r="I33" s="16" t="n">
        <x:f>SUM(D33:H33)</x:f>
        <x:v>289497.156</x:v>
      </x:c>
      <x:c r="J33" s="16" t="n">
        <x:f>C33-I33</x:f>
        <x:v>493212.844</x:v>
      </x:c>
      <x:c r="K33" s="20" t="n">
        <x:f>J33/C33</x:f>
        <x:v>0.6301348443229293</x:v>
      </x:c>
      <x:c r="L33" s="11"/>
      <x:c r="M33" s="11"/>
      <x:c r="N33" s="11"/>
      <x:c r="O33" s="11"/>
      <x:c r="P33" s="11"/>
    </x:row>
    <x:row r="34">
      <x:c r="A34" s="11" t="n">
        <x:v>300</x:v>
      </x:c>
      <x:c r="B34" s="16" t="n">
        <x:f>'Pricing Strategy'!$B$8</x:f>
        <x:v>2699</x:v>
      </x:c>
      <x:c r="C34" s="16" t="n">
        <x:f>A34*B34</x:f>
        <x:v>809700</x:v>
      </x:c>
      <x:c r="D34" s="16" t="n">
        <x:f>IF(A34&lt;=10,'Cost Assumptions'!B4+'Cost Assumptions'!B5,IF(A34&lt;=50,'Cost Assumptions'!C4+'Cost Assumptions'!C5,IF(A34&lt;=100,'Cost Assumptions'!D4+'Cost Assumptions'!D5,'Cost Assumptions'!E4+'Cost Assumptions'!E5)))</x:f>
        <x:v>35000</x:v>
      </x:c>
      <x:c r="E34" s="16" t="n">
        <x:f>A34*IF(A34&lt;=10,'Cost Assumptions'!B6,IF(A34&lt;=50,'Cost Assumptions'!C6,IF(A34&lt;=100,'Cost Assumptions'!D6,'Cost Assumptions'!E6)))</x:f>
        <x:v>75000</x:v>
      </x:c>
      <x:c r="F34" s="16" t="n">
        <x:f>A34*(IF(A34&lt;=10,'Cost Assumptions'!B7+'Cost Assumptions'!B8,IF(A34&lt;=50,'Cost Assumptions'!C7+'Cost Assumptions'!C8,IF(A34&lt;=100,'Cost Assumptions'!D7+'Cost Assumptions'!D8,'Cost Assumptions'!E7+'Cost Assumptions'!E8))))</x:f>
        <x:v>72000</x:v>
      </x:c>
      <x:c r="G34" s="16" t="n">
        <x:f>IF(A34&lt;=10,'Cost Assumptions'!B9,IF(A34&lt;=50,'Cost Assumptions'!C9,IF(A34&lt;=100,MAX('Cost Assumptions'!D9,C34*'Cost Assumptions'!D10),C34*'Cost Assumptions'!E10)))</x:f>
        <x:v>97164</x:v>
      </x:c>
      <x:c r="H34" s="16" t="n">
        <x:f>C34*IF(A34&lt;=10,'Cost Assumptions'!B11,IF(A34&lt;=50,'Cost Assumptions'!C11,IF(A34&lt;=100,'Cost Assumptions'!D11,'Cost Assumptions'!E11)))</x:f>
        <x:v>19108.92</x:v>
      </x:c>
      <x:c r="I34" s="16" t="n">
        <x:f>SUM(D34:H34)</x:f>
        <x:v>298272.92</x:v>
      </x:c>
      <x:c r="J34" s="16" t="n">
        <x:f>C34-I34</x:f>
        <x:v>511427.08</x:v>
      </x:c>
      <x:c r="K34" s="20" t="n">
        <x:f>J34/C34</x:f>
        <x:v>0.6316253921205385</x:v>
      </x:c>
      <x:c r="L34" s="11"/>
      <x:c r="M34" s="11"/>
      <x:c r="N34" s="11"/>
      <x:c r="O34" s="11"/>
      <x:c r="P34" s="11"/>
    </x:row>
    <x:row r="35">
      <x:c r="A35" s="11" t="n">
        <x:v>310</x:v>
      </x:c>
      <x:c r="B35" s="16" t="n">
        <x:f>'Pricing Strategy'!$B$8</x:f>
        <x:v>2699</x:v>
      </x:c>
      <x:c r="C35" s="16" t="n">
        <x:f>A35*B35</x:f>
        <x:v>836690</x:v>
      </x:c>
      <x:c r="D35" s="16" t="n">
        <x:f>IF(A35&lt;=10,'Cost Assumptions'!B4+'Cost Assumptions'!B5,IF(A35&lt;=50,'Cost Assumptions'!C4+'Cost Assumptions'!C5,IF(A35&lt;=100,'Cost Assumptions'!D4+'Cost Assumptions'!D5,'Cost Assumptions'!E4+'Cost Assumptions'!E5)))</x:f>
        <x:v>35000</x:v>
      </x:c>
      <x:c r="E35" s="16" t="n">
        <x:f>A35*IF(A35&lt;=10,'Cost Assumptions'!B6,IF(A35&lt;=50,'Cost Assumptions'!C6,IF(A35&lt;=100,'Cost Assumptions'!D6,'Cost Assumptions'!E6)))</x:f>
        <x:v>77500</x:v>
      </x:c>
      <x:c r="F35" s="16" t="n">
        <x:f>A35*(IF(A35&lt;=10,'Cost Assumptions'!B7+'Cost Assumptions'!B8,IF(A35&lt;=50,'Cost Assumptions'!C7+'Cost Assumptions'!C8,IF(A35&lt;=100,'Cost Assumptions'!D7+'Cost Assumptions'!D8,'Cost Assumptions'!E7+'Cost Assumptions'!E8))))</x:f>
        <x:v>74400</x:v>
      </x:c>
      <x:c r="G35" s="16" t="n">
        <x:f>IF(A35&lt;=10,'Cost Assumptions'!B9,IF(A35&lt;=50,'Cost Assumptions'!C9,IF(A35&lt;=100,MAX('Cost Assumptions'!D9,C35*'Cost Assumptions'!D10),C35*'Cost Assumptions'!E10)))</x:f>
        <x:v>100402.8</x:v>
      </x:c>
      <x:c r="H35" s="16" t="n">
        <x:f>C35*IF(A35&lt;=10,'Cost Assumptions'!B11,IF(A35&lt;=50,'Cost Assumptions'!C11,IF(A35&lt;=100,'Cost Assumptions'!D11,'Cost Assumptions'!E11)))</x:f>
        <x:v>19745.884</x:v>
      </x:c>
      <x:c r="I35" s="16" t="n">
        <x:f>SUM(D35:H35)</x:f>
        <x:v>307048.684</x:v>
      </x:c>
      <x:c r="J35" s="16" t="n">
        <x:f>C35-I35</x:f>
        <x:v>529641.316</x:v>
      </x:c>
      <x:c r="K35" s="20" t="n">
        <x:f>J35/C35</x:f>
        <x:v>0.6330197755441084</x:v>
      </x:c>
      <x:c r="L35" s="11"/>
      <x:c r="M35" s="11"/>
      <x:c r="N35" s="11"/>
      <x:c r="O35" s="11"/>
      <x:c r="P35" s="11"/>
    </x:row>
    <x:row r="36">
      <x:c r="A36" s="11" t="n">
        <x:v>320</x:v>
      </x:c>
      <x:c r="B36" s="16" t="n">
        <x:f>'Pricing Strategy'!$B$8</x:f>
        <x:v>2699</x:v>
      </x:c>
      <x:c r="C36" s="16" t="n">
        <x:f>A36*B36</x:f>
        <x:v>863680</x:v>
      </x:c>
      <x:c r="D36" s="16" t="n">
        <x:f>IF(A36&lt;=10,'Cost Assumptions'!B4+'Cost Assumptions'!B5,IF(A36&lt;=50,'Cost Assumptions'!C4+'Cost Assumptions'!C5,IF(A36&lt;=100,'Cost Assumptions'!D4+'Cost Assumptions'!D5,'Cost Assumptions'!E4+'Cost Assumptions'!E5)))</x:f>
        <x:v>35000</x:v>
      </x:c>
      <x:c r="E36" s="16" t="n">
        <x:f>A36*IF(A36&lt;=10,'Cost Assumptions'!B6,IF(A36&lt;=50,'Cost Assumptions'!C6,IF(A36&lt;=100,'Cost Assumptions'!D6,'Cost Assumptions'!E6)))</x:f>
        <x:v>80000</x:v>
      </x:c>
      <x:c r="F36" s="16" t="n">
        <x:f>A36*(IF(A36&lt;=10,'Cost Assumptions'!B7+'Cost Assumptions'!B8,IF(A36&lt;=50,'Cost Assumptions'!C7+'Cost Assumptions'!C8,IF(A36&lt;=100,'Cost Assumptions'!D7+'Cost Assumptions'!D8,'Cost Assumptions'!E7+'Cost Assumptions'!E8))))</x:f>
        <x:v>76800</x:v>
      </x:c>
      <x:c r="G36" s="16" t="n">
        <x:f>IF(A36&lt;=10,'Cost Assumptions'!B9,IF(A36&lt;=50,'Cost Assumptions'!C9,IF(A36&lt;=100,MAX('Cost Assumptions'!D9,C36*'Cost Assumptions'!D10),C36*'Cost Assumptions'!E10)))</x:f>
        <x:v>103641.59999999999</x:v>
      </x:c>
      <x:c r="H36" s="16" t="n">
        <x:f>C36*IF(A36&lt;=10,'Cost Assumptions'!B11,IF(A36&lt;=50,'Cost Assumptions'!C11,IF(A36&lt;=100,'Cost Assumptions'!D11,'Cost Assumptions'!E11)))</x:f>
        <x:v>20382.847999999998</x:v>
      </x:c>
      <x:c r="I36" s="16" t="n">
        <x:f>SUM(D36:H36)</x:f>
        <x:v>315824.448</x:v>
      </x:c>
      <x:c r="J36" s="16" t="n">
        <x:f>C36-I36</x:f>
        <x:v>547855.552</x:v>
      </x:c>
      <x:c r="K36" s="20" t="n">
        <x:f>J36/C36</x:f>
        <x:v>0.6343270100037051</x:v>
      </x:c>
      <x:c r="L36" s="11"/>
      <x:c r="M36" s="11"/>
      <x:c r="N36" s="11"/>
      <x:c r="O36" s="11"/>
      <x:c r="P36" s="11"/>
    </x:row>
    <x:row r="37">
      <x:c r="A37" s="11" t="n">
        <x:v>330</x:v>
      </x:c>
      <x:c r="B37" s="16" t="n">
        <x:f>'Pricing Strategy'!$B$8</x:f>
        <x:v>2699</x:v>
      </x:c>
      <x:c r="C37" s="16" t="n">
        <x:f>A37*B37</x:f>
        <x:v>890670</x:v>
      </x:c>
      <x:c r="D37" s="16" t="n">
        <x:f>IF(A37&lt;=10,'Cost Assumptions'!B4+'Cost Assumptions'!B5,IF(A37&lt;=50,'Cost Assumptions'!C4+'Cost Assumptions'!C5,IF(A37&lt;=100,'Cost Assumptions'!D4+'Cost Assumptions'!D5,'Cost Assumptions'!E4+'Cost Assumptions'!E5)))</x:f>
        <x:v>35000</x:v>
      </x:c>
      <x:c r="E37" s="16" t="n">
        <x:f>A37*IF(A37&lt;=10,'Cost Assumptions'!B6,IF(A37&lt;=50,'Cost Assumptions'!C6,IF(A37&lt;=100,'Cost Assumptions'!D6,'Cost Assumptions'!E6)))</x:f>
        <x:v>82500</x:v>
      </x:c>
      <x:c r="F37" s="16" t="n">
        <x:f>A37*(IF(A37&lt;=10,'Cost Assumptions'!B7+'Cost Assumptions'!B8,IF(A37&lt;=50,'Cost Assumptions'!C7+'Cost Assumptions'!C8,IF(A37&lt;=100,'Cost Assumptions'!D7+'Cost Assumptions'!D8,'Cost Assumptions'!E7+'Cost Assumptions'!E8))))</x:f>
        <x:v>79200</x:v>
      </x:c>
      <x:c r="G37" s="16" t="n">
        <x:f>IF(A37&lt;=10,'Cost Assumptions'!B9,IF(A37&lt;=50,'Cost Assumptions'!C9,IF(A37&lt;=100,MAX('Cost Assumptions'!D9,C37*'Cost Assumptions'!D10),C37*'Cost Assumptions'!E10)))</x:f>
        <x:v>106880.4</x:v>
      </x:c>
      <x:c r="H37" s="16" t="n">
        <x:f>C37*IF(A37&lt;=10,'Cost Assumptions'!B11,IF(A37&lt;=50,'Cost Assumptions'!C11,IF(A37&lt;=100,'Cost Assumptions'!D11,'Cost Assumptions'!E11)))</x:f>
        <x:v>21019.811999999998</x:v>
      </x:c>
      <x:c r="I37" s="16" t="n">
        <x:f>SUM(D37:H37)</x:f>
        <x:v>324600.212</x:v>
      </x:c>
      <x:c r="J37" s="16" t="n">
        <x:f>C37-I37</x:f>
        <x:v>566069.788</x:v>
      </x:c>
      <x:c r="K37" s="20" t="n">
        <x:f>J37/C37</x:f>
        <x:v>0.6355550181324171</x:v>
      </x:c>
      <x:c r="L37" s="11"/>
      <x:c r="M37" s="11"/>
      <x:c r="N37" s="11"/>
      <x:c r="O37" s="11"/>
      <x:c r="P37" s="11"/>
    </x:row>
    <x:row r="38">
      <x:c r="A38" s="11" t="n">
        <x:v>340</x:v>
      </x:c>
      <x:c r="B38" s="16" t="n">
        <x:f>'Pricing Strategy'!$B$8</x:f>
        <x:v>2699</x:v>
      </x:c>
      <x:c r="C38" s="16" t="n">
        <x:f>A38*B38</x:f>
        <x:v>917660</x:v>
      </x:c>
      <x:c r="D38" s="16" t="n">
        <x:f>IF(A38&lt;=10,'Cost Assumptions'!B4+'Cost Assumptions'!B5,IF(A38&lt;=50,'Cost Assumptions'!C4+'Cost Assumptions'!C5,IF(A38&lt;=100,'Cost Assumptions'!D4+'Cost Assumptions'!D5,'Cost Assumptions'!E4+'Cost Assumptions'!E5)))</x:f>
        <x:v>35000</x:v>
      </x:c>
      <x:c r="E38" s="16" t="n">
        <x:f>A38*IF(A38&lt;=10,'Cost Assumptions'!B6,IF(A38&lt;=50,'Cost Assumptions'!C6,IF(A38&lt;=100,'Cost Assumptions'!D6,'Cost Assumptions'!E6)))</x:f>
        <x:v>85000</x:v>
      </x:c>
      <x:c r="F38" s="16" t="n">
        <x:f>A38*(IF(A38&lt;=10,'Cost Assumptions'!B7+'Cost Assumptions'!B8,IF(A38&lt;=50,'Cost Assumptions'!C7+'Cost Assumptions'!C8,IF(A38&lt;=100,'Cost Assumptions'!D7+'Cost Assumptions'!D8,'Cost Assumptions'!E7+'Cost Assumptions'!E8))))</x:f>
        <x:v>81600</x:v>
      </x:c>
      <x:c r="G38" s="16" t="n">
        <x:f>IF(A38&lt;=10,'Cost Assumptions'!B9,IF(A38&lt;=50,'Cost Assumptions'!C9,IF(A38&lt;=100,MAX('Cost Assumptions'!D9,C38*'Cost Assumptions'!D10),C38*'Cost Assumptions'!E10)))</x:f>
        <x:v>110119.2</x:v>
      </x:c>
      <x:c r="H38" s="16" t="n">
        <x:f>C38*IF(A38&lt;=10,'Cost Assumptions'!B11,IF(A38&lt;=50,'Cost Assumptions'!C11,IF(A38&lt;=100,'Cost Assumptions'!D11,'Cost Assumptions'!E11)))</x:f>
        <x:v>21656.775999999998</x:v>
      </x:c>
      <x:c r="I38" s="16" t="n">
        <x:f>SUM(D38:H38)</x:f>
        <x:v>333375.976</x:v>
      </x:c>
      <x:c r="J38" s="16" t="n">
        <x:f>C38-I38</x:f>
        <x:v>584284.024</x:v>
      </x:c>
      <x:c r="K38" s="20" t="n">
        <x:f>J38/C38</x:f>
        <x:v>0.636710790488852</x:v>
      </x:c>
      <x:c r="L38" s="11"/>
      <x:c r="M38" s="11"/>
      <x:c r="N38" s="11"/>
      <x:c r="O38" s="11"/>
      <x:c r="P38" s="11"/>
    </x:row>
    <x:row r="39">
      <x:c r="A39" s="11" t="n">
        <x:v>350</x:v>
      </x:c>
      <x:c r="B39" s="16" t="n">
        <x:f>'Pricing Strategy'!$B$8</x:f>
        <x:v>2699</x:v>
      </x:c>
      <x:c r="C39" s="16" t="n">
        <x:f>A39*B39</x:f>
        <x:v>944650</x:v>
      </x:c>
      <x:c r="D39" s="16" t="n">
        <x:f>IF(A39&lt;=10,'Cost Assumptions'!B4+'Cost Assumptions'!B5,IF(A39&lt;=50,'Cost Assumptions'!C4+'Cost Assumptions'!C5,IF(A39&lt;=100,'Cost Assumptions'!D4+'Cost Assumptions'!D5,'Cost Assumptions'!E4+'Cost Assumptions'!E5)))</x:f>
        <x:v>35000</x:v>
      </x:c>
      <x:c r="E39" s="16" t="n">
        <x:f>A39*IF(A39&lt;=10,'Cost Assumptions'!B6,IF(A39&lt;=50,'Cost Assumptions'!C6,IF(A39&lt;=100,'Cost Assumptions'!D6,'Cost Assumptions'!E6)))</x:f>
        <x:v>87500</x:v>
      </x:c>
      <x:c r="F39" s="16" t="n">
        <x:f>A39*(IF(A39&lt;=10,'Cost Assumptions'!B7+'Cost Assumptions'!B8,IF(A39&lt;=50,'Cost Assumptions'!C7+'Cost Assumptions'!C8,IF(A39&lt;=100,'Cost Assumptions'!D7+'Cost Assumptions'!D8,'Cost Assumptions'!E7+'Cost Assumptions'!E8))))</x:f>
        <x:v>84000</x:v>
      </x:c>
      <x:c r="G39" s="16" t="n">
        <x:f>IF(A39&lt;=10,'Cost Assumptions'!B9,IF(A39&lt;=50,'Cost Assumptions'!C9,IF(A39&lt;=100,MAX('Cost Assumptions'!D9,C39*'Cost Assumptions'!D10),C39*'Cost Assumptions'!E10)))</x:f>
        <x:v>113358</x:v>
      </x:c>
      <x:c r="H39" s="16" t="n">
        <x:f>C39*IF(A39&lt;=10,'Cost Assumptions'!B11,IF(A39&lt;=50,'Cost Assumptions'!C11,IF(A39&lt;=100,'Cost Assumptions'!D11,'Cost Assumptions'!E11)))</x:f>
        <x:v>22293.739999999998</x:v>
      </x:c>
      <x:c r="I39" s="16" t="n">
        <x:f>SUM(D39:H39)</x:f>
        <x:v>342151.74</x:v>
      </x:c>
      <x:c r="J39" s="16" t="n">
        <x:f>C39-I39</x:f>
        <x:v>602498.26</x:v>
      </x:c>
      <x:c r="K39" s="20" t="n">
        <x:f>J39/C39</x:f>
        <x:v>0.6378005187106336</x:v>
      </x:c>
      <x:c r="L39" s="11"/>
      <x:c r="M39" s="11"/>
      <x:c r="N39" s="11"/>
      <x:c r="O39" s="11"/>
      <x:c r="P39" s="11"/>
    </x:row>
    <x:row r="40">
      <x:c r="A40" s="11" t="n">
        <x:v>360</x:v>
      </x:c>
      <x:c r="B40" s="16" t="n">
        <x:f>'Pricing Strategy'!$B$8</x:f>
        <x:v>2699</x:v>
      </x:c>
      <x:c r="C40" s="16" t="n">
        <x:f>A40*B40</x:f>
        <x:v>971640</x:v>
      </x:c>
      <x:c r="D40" s="16" t="n">
        <x:f>IF(A40&lt;=10,'Cost Assumptions'!B4+'Cost Assumptions'!B5,IF(A40&lt;=50,'Cost Assumptions'!C4+'Cost Assumptions'!C5,IF(A40&lt;=100,'Cost Assumptions'!D4+'Cost Assumptions'!D5,'Cost Assumptions'!E4+'Cost Assumptions'!E5)))</x:f>
        <x:v>35000</x:v>
      </x:c>
      <x:c r="E40" s="16" t="n">
        <x:f>A40*IF(A40&lt;=10,'Cost Assumptions'!B6,IF(A40&lt;=50,'Cost Assumptions'!C6,IF(A40&lt;=100,'Cost Assumptions'!D6,'Cost Assumptions'!E6)))</x:f>
        <x:v>90000</x:v>
      </x:c>
      <x:c r="F40" s="16" t="n">
        <x:f>A40*(IF(A40&lt;=10,'Cost Assumptions'!B7+'Cost Assumptions'!B8,IF(A40&lt;=50,'Cost Assumptions'!C7+'Cost Assumptions'!C8,IF(A40&lt;=100,'Cost Assumptions'!D7+'Cost Assumptions'!D8,'Cost Assumptions'!E7+'Cost Assumptions'!E8))))</x:f>
        <x:v>86400</x:v>
      </x:c>
      <x:c r="G40" s="16" t="n">
        <x:f>IF(A40&lt;=10,'Cost Assumptions'!B9,IF(A40&lt;=50,'Cost Assumptions'!C9,IF(A40&lt;=100,MAX('Cost Assumptions'!D9,C40*'Cost Assumptions'!D10),C40*'Cost Assumptions'!E10)))</x:f>
        <x:v>116596.8</x:v>
      </x:c>
      <x:c r="H40" s="16" t="n">
        <x:f>C40*IF(A40&lt;=10,'Cost Assumptions'!B11,IF(A40&lt;=50,'Cost Assumptions'!C11,IF(A40&lt;=100,'Cost Assumptions'!D11,'Cost Assumptions'!E11)))</x:f>
        <x:v>22930.703999999998</x:v>
      </x:c>
      <x:c r="I40" s="16" t="n">
        <x:f>SUM(D40:H40)</x:f>
        <x:v>350927.50399999996</x:v>
      </x:c>
      <x:c r="J40" s="16" t="n">
        <x:f>C40-I40</x:f>
        <x:v>620712.496</x:v>
      </x:c>
      <x:c r="K40" s="20" t="n">
        <x:f>J40/C40</x:f>
        <x:v>0.6388297064756495</x:v>
      </x:c>
      <x:c r="L40" s="11"/>
      <x:c r="M40" s="11"/>
      <x:c r="N40" s="11"/>
      <x:c r="O40" s="11"/>
      <x:c r="P40" s="11"/>
    </x:row>
    <x:row r="41">
      <x:c r="A41" s="11" t="n">
        <x:v>370</x:v>
      </x:c>
      <x:c r="B41" s="16" t="n">
        <x:f>'Pricing Strategy'!$B$8</x:f>
        <x:v>2699</x:v>
      </x:c>
      <x:c r="C41" s="16" t="n">
        <x:f>A41*B41</x:f>
        <x:v>998630</x:v>
      </x:c>
      <x:c r="D41" s="16" t="n">
        <x:f>IF(A41&lt;=10,'Cost Assumptions'!B4+'Cost Assumptions'!B5,IF(A41&lt;=50,'Cost Assumptions'!C4+'Cost Assumptions'!C5,IF(A41&lt;=100,'Cost Assumptions'!D4+'Cost Assumptions'!D5,'Cost Assumptions'!E4+'Cost Assumptions'!E5)))</x:f>
        <x:v>35000</x:v>
      </x:c>
      <x:c r="E41" s="16" t="n">
        <x:f>A41*IF(A41&lt;=10,'Cost Assumptions'!B6,IF(A41&lt;=50,'Cost Assumptions'!C6,IF(A41&lt;=100,'Cost Assumptions'!D6,'Cost Assumptions'!E6)))</x:f>
        <x:v>92500</x:v>
      </x:c>
      <x:c r="F41" s="16" t="n">
        <x:f>A41*(IF(A41&lt;=10,'Cost Assumptions'!B7+'Cost Assumptions'!B8,IF(A41&lt;=50,'Cost Assumptions'!C7+'Cost Assumptions'!C8,IF(A41&lt;=100,'Cost Assumptions'!D7+'Cost Assumptions'!D8,'Cost Assumptions'!E7+'Cost Assumptions'!E8))))</x:f>
        <x:v>88800</x:v>
      </x:c>
      <x:c r="G41" s="16" t="n">
        <x:f>IF(A41&lt;=10,'Cost Assumptions'!B9,IF(A41&lt;=50,'Cost Assumptions'!C9,IF(A41&lt;=100,MAX('Cost Assumptions'!D9,C41*'Cost Assumptions'!D10),C41*'Cost Assumptions'!E10)))</x:f>
        <x:v>119835.59999999999</x:v>
      </x:c>
      <x:c r="H41" s="16" t="n">
        <x:f>C41*IF(A41&lt;=10,'Cost Assumptions'!B11,IF(A41&lt;=50,'Cost Assumptions'!C11,IF(A41&lt;=100,'Cost Assumptions'!D11,'Cost Assumptions'!E11)))</x:f>
        <x:v>23567.667999999998</x:v>
      </x:c>
      <x:c r="I41" s="16" t="n">
        <x:f>SUM(D41:H41)</x:f>
        <x:v>359703.268</x:v>
      </x:c>
      <x:c r="J41" s="16" t="n">
        <x:f>C41-I41</x:f>
        <x:v>638926.7320000001</x:v>
      </x:c>
      <x:c r="K41" s="20" t="n">
        <x:f>J41/C41</x:f>
        <x:v>0.6398032624695834</x:v>
      </x:c>
      <x:c r="L41" s="11"/>
      <x:c r="M41" s="11"/>
      <x:c r="N41" s="11"/>
      <x:c r="O41" s="11"/>
      <x:c r="P41" s="11"/>
    </x:row>
    <x:row r="42">
      <x:c r="A42" s="11" t="n">
        <x:v>380</x:v>
      </x:c>
      <x:c r="B42" s="16" t="n">
        <x:f>'Pricing Strategy'!$B$8</x:f>
        <x:v>2699</x:v>
      </x:c>
      <x:c r="C42" s="16" t="n">
        <x:f>A42*B42</x:f>
        <x:v>1025620</x:v>
      </x:c>
      <x:c r="D42" s="16" t="n">
        <x:f>IF(A42&lt;=10,'Cost Assumptions'!B4+'Cost Assumptions'!B5,IF(A42&lt;=50,'Cost Assumptions'!C4+'Cost Assumptions'!C5,IF(A42&lt;=100,'Cost Assumptions'!D4+'Cost Assumptions'!D5,'Cost Assumptions'!E4+'Cost Assumptions'!E5)))</x:f>
        <x:v>35000</x:v>
      </x:c>
      <x:c r="E42" s="16" t="n">
        <x:f>A42*IF(A42&lt;=10,'Cost Assumptions'!B6,IF(A42&lt;=50,'Cost Assumptions'!C6,IF(A42&lt;=100,'Cost Assumptions'!D6,'Cost Assumptions'!E6)))</x:f>
        <x:v>95000</x:v>
      </x:c>
      <x:c r="F42" s="16" t="n">
        <x:f>A42*(IF(A42&lt;=10,'Cost Assumptions'!B7+'Cost Assumptions'!B8,IF(A42&lt;=50,'Cost Assumptions'!C7+'Cost Assumptions'!C8,IF(A42&lt;=100,'Cost Assumptions'!D7+'Cost Assumptions'!D8,'Cost Assumptions'!E7+'Cost Assumptions'!E8))))</x:f>
        <x:v>91200</x:v>
      </x:c>
      <x:c r="G42" s="16" t="n">
        <x:f>IF(A42&lt;=10,'Cost Assumptions'!B9,IF(A42&lt;=50,'Cost Assumptions'!C9,IF(A42&lt;=100,MAX('Cost Assumptions'!D9,C42*'Cost Assumptions'!D10),C42*'Cost Assumptions'!E10)))</x:f>
        <x:v>123074.4</x:v>
      </x:c>
      <x:c r="H42" s="16" t="n">
        <x:f>C42*IF(A42&lt;=10,'Cost Assumptions'!B11,IF(A42&lt;=50,'Cost Assumptions'!C11,IF(A42&lt;=100,'Cost Assumptions'!D11,'Cost Assumptions'!E11)))</x:f>
        <x:v>24204.631999999998</x:v>
      </x:c>
      <x:c r="I42" s="16" t="n">
        <x:f>SUM(D42:H42)</x:f>
        <x:v>368479.032</x:v>
      </x:c>
      <x:c r="J42" s="16" t="n">
        <x:f>C42-I42</x:f>
        <x:v>657140.968</x:v>
      </x:c>
      <x:c r="K42" s="20" t="n">
        <x:f>J42/C42</x:f>
        <x:v>0.6407255786743629</x:v>
      </x:c>
      <x:c r="L42" s="11"/>
      <x:c r="M42" s="11"/>
      <x:c r="N42" s="11"/>
      <x:c r="O42" s="11"/>
      <x:c r="P42" s="11"/>
    </x:row>
    <x:row r="43">
      <x:c r="A43" s="11" t="n">
        <x:v>390</x:v>
      </x:c>
      <x:c r="B43" s="16" t="n">
        <x:f>'Pricing Strategy'!$B$8</x:f>
        <x:v>2699</x:v>
      </x:c>
      <x:c r="C43" s="16" t="n">
        <x:f>A43*B43</x:f>
        <x:v>1052610</x:v>
      </x:c>
      <x:c r="D43" s="16" t="n">
        <x:f>IF(A43&lt;=10,'Cost Assumptions'!B4+'Cost Assumptions'!B5,IF(A43&lt;=50,'Cost Assumptions'!C4+'Cost Assumptions'!C5,IF(A43&lt;=100,'Cost Assumptions'!D4+'Cost Assumptions'!D5,'Cost Assumptions'!E4+'Cost Assumptions'!E5)))</x:f>
        <x:v>35000</x:v>
      </x:c>
      <x:c r="E43" s="16" t="n">
        <x:f>A43*IF(A43&lt;=10,'Cost Assumptions'!B6,IF(A43&lt;=50,'Cost Assumptions'!C6,IF(A43&lt;=100,'Cost Assumptions'!D6,'Cost Assumptions'!E6)))</x:f>
        <x:v>97500</x:v>
      </x:c>
      <x:c r="F43" s="16" t="n">
        <x:f>A43*(IF(A43&lt;=10,'Cost Assumptions'!B7+'Cost Assumptions'!B8,IF(A43&lt;=50,'Cost Assumptions'!C7+'Cost Assumptions'!C8,IF(A43&lt;=100,'Cost Assumptions'!D7+'Cost Assumptions'!D8,'Cost Assumptions'!E7+'Cost Assumptions'!E8))))</x:f>
        <x:v>93600</x:v>
      </x:c>
      <x:c r="G43" s="16" t="n">
        <x:f>IF(A43&lt;=10,'Cost Assumptions'!B9,IF(A43&lt;=50,'Cost Assumptions'!C9,IF(A43&lt;=100,MAX('Cost Assumptions'!D9,C43*'Cost Assumptions'!D10),C43*'Cost Assumptions'!E10)))</x:f>
        <x:v>126313.2</x:v>
      </x:c>
      <x:c r="H43" s="16" t="n">
        <x:f>C43*IF(A43&lt;=10,'Cost Assumptions'!B11,IF(A43&lt;=50,'Cost Assumptions'!C11,IF(A43&lt;=100,'Cost Assumptions'!D11,'Cost Assumptions'!E11)))</x:f>
        <x:v>24841.595999999998</x:v>
      </x:c>
      <x:c r="I43" s="16" t="n">
        <x:f>SUM(D43:H43)</x:f>
        <x:v>377254.79600000003</x:v>
      </x:c>
      <x:c r="J43" s="16" t="n">
        <x:f>C43-I43</x:f>
        <x:v>675355.2039999999</x:v>
      </x:c>
      <x:c r="K43" s="20" t="n">
        <x:f>J43/C43</x:f>
        <x:v>0.6416005966122305</x:v>
      </x:c>
      <x:c r="L43" s="11"/>
      <x:c r="M43" s="11"/>
      <x:c r="N43" s="11"/>
      <x:c r="O43" s="11"/>
      <x:c r="P43" s="11"/>
    </x:row>
    <x:row r="44">
      <x:c r="A44" s="11" t="n">
        <x:v>400</x:v>
      </x:c>
      <x:c r="B44" s="16" t="n">
        <x:f>'Pricing Strategy'!$B$8</x:f>
        <x:v>2699</x:v>
      </x:c>
      <x:c r="C44" s="16" t="n">
        <x:f>A44*B44</x:f>
        <x:v>1079600</x:v>
      </x:c>
      <x:c r="D44" s="16" t="n">
        <x:f>IF(A44&lt;=10,'Cost Assumptions'!B4+'Cost Assumptions'!B5,IF(A44&lt;=50,'Cost Assumptions'!C4+'Cost Assumptions'!C5,IF(A44&lt;=100,'Cost Assumptions'!D4+'Cost Assumptions'!D5,'Cost Assumptions'!E4+'Cost Assumptions'!E5)))</x:f>
        <x:v>35000</x:v>
      </x:c>
      <x:c r="E44" s="16" t="n">
        <x:f>A44*IF(A44&lt;=10,'Cost Assumptions'!B6,IF(A44&lt;=50,'Cost Assumptions'!C6,IF(A44&lt;=100,'Cost Assumptions'!D6,'Cost Assumptions'!E6)))</x:f>
        <x:v>100000</x:v>
      </x:c>
      <x:c r="F44" s="16" t="n">
        <x:f>A44*(IF(A44&lt;=10,'Cost Assumptions'!B7+'Cost Assumptions'!B8,IF(A44&lt;=50,'Cost Assumptions'!C7+'Cost Assumptions'!C8,IF(A44&lt;=100,'Cost Assumptions'!D7+'Cost Assumptions'!D8,'Cost Assumptions'!E7+'Cost Assumptions'!E8))))</x:f>
        <x:v>96000</x:v>
      </x:c>
      <x:c r="G44" s="16" t="n">
        <x:f>IF(A44&lt;=10,'Cost Assumptions'!B9,IF(A44&lt;=50,'Cost Assumptions'!C9,IF(A44&lt;=100,MAX('Cost Assumptions'!D9,C44*'Cost Assumptions'!D10),C44*'Cost Assumptions'!E10)))</x:f>
        <x:v>129552</x:v>
      </x:c>
      <x:c r="H44" s="16" t="n">
        <x:f>C44*IF(A44&lt;=10,'Cost Assumptions'!B11,IF(A44&lt;=50,'Cost Assumptions'!C11,IF(A44&lt;=100,'Cost Assumptions'!D11,'Cost Assumptions'!E11)))</x:f>
        <x:v>25478.559999999998</x:v>
      </x:c>
      <x:c r="I44" s="16" t="n">
        <x:f>SUM(D44:H44)</x:f>
        <x:v>386030.56</x:v>
      </x:c>
      <x:c r="J44" s="16" t="n">
        <x:f>C44-I44</x:f>
        <x:v>693569.44</x:v>
      </x:c>
      <x:c r="K44" s="20" t="n">
        <x:f>J44/C44</x:f>
        <x:v>0.6424318636532048</x:v>
      </x:c>
      <x:c r="L44" s="11"/>
      <x:c r="M44" s="11"/>
      <x:c r="N44" s="11"/>
      <x:c r="O44" s="11"/>
      <x:c r="P44" s="11"/>
    </x:row>
    <x:row r="45">
      <x:c r="A45" s="11" t="n">
        <x:v>410</x:v>
      </x:c>
      <x:c r="B45" s="16" t="n">
        <x:f>'Pricing Strategy'!$B$8</x:f>
        <x:v>2699</x:v>
      </x:c>
      <x:c r="C45" s="16" t="n">
        <x:f>A45*B45</x:f>
        <x:v>1106590</x:v>
      </x:c>
      <x:c r="D45" s="16" t="n">
        <x:f>IF(A45&lt;=10,'Cost Assumptions'!B4+'Cost Assumptions'!B5,IF(A45&lt;=50,'Cost Assumptions'!C4+'Cost Assumptions'!C5,IF(A45&lt;=100,'Cost Assumptions'!D4+'Cost Assumptions'!D5,'Cost Assumptions'!E4+'Cost Assumptions'!E5)))</x:f>
        <x:v>35000</x:v>
      </x:c>
      <x:c r="E45" s="16" t="n">
        <x:f>A45*IF(A45&lt;=10,'Cost Assumptions'!B6,IF(A45&lt;=50,'Cost Assumptions'!C6,IF(A45&lt;=100,'Cost Assumptions'!D6,'Cost Assumptions'!E6)))</x:f>
        <x:v>102500</x:v>
      </x:c>
      <x:c r="F45" s="16" t="n">
        <x:f>A45*(IF(A45&lt;=10,'Cost Assumptions'!B7+'Cost Assumptions'!B8,IF(A45&lt;=50,'Cost Assumptions'!C7+'Cost Assumptions'!C8,IF(A45&lt;=100,'Cost Assumptions'!D7+'Cost Assumptions'!D8,'Cost Assumptions'!E7+'Cost Assumptions'!E8))))</x:f>
        <x:v>98400</x:v>
      </x:c>
      <x:c r="G45" s="16" t="n">
        <x:f>IF(A45&lt;=10,'Cost Assumptions'!B9,IF(A45&lt;=50,'Cost Assumptions'!C9,IF(A45&lt;=100,MAX('Cost Assumptions'!D9,C45*'Cost Assumptions'!D10),C45*'Cost Assumptions'!E10)))</x:f>
        <x:v>132790.8</x:v>
      </x:c>
      <x:c r="H45" s="16" t="n">
        <x:f>C45*IF(A45&lt;=10,'Cost Assumptions'!B11,IF(A45&lt;=50,'Cost Assumptions'!C11,IF(A45&lt;=100,'Cost Assumptions'!D11,'Cost Assumptions'!E11)))</x:f>
        <x:v>26115.523999999998</x:v>
      </x:c>
      <x:c r="I45" s="16" t="n">
        <x:f>SUM(D45:H45)</x:f>
        <x:v>394806.32399999996</x:v>
      </x:c>
      <x:c r="J45" s="16" t="n">
        <x:f>C45-I45</x:f>
        <x:v>711783.676</x:v>
      </x:c>
      <x:c r="K45" s="20" t="n">
        <x:f>J45/C45</x:f>
        <x:v>0.6432225810824244</x:v>
      </x:c>
      <x:c r="L45" s="11"/>
      <x:c r="M45" s="11"/>
      <x:c r="N45" s="11"/>
      <x:c r="O45" s="11"/>
      <x:c r="P45" s="11"/>
    </x:row>
    <x:row r="46">
      <x:c r="A46" s="11" t="n">
        <x:v>420</x:v>
      </x:c>
      <x:c r="B46" s="16" t="n">
        <x:f>'Pricing Strategy'!$B$8</x:f>
        <x:v>2699</x:v>
      </x:c>
      <x:c r="C46" s="16" t="n">
        <x:f>A46*B46</x:f>
        <x:v>1133580</x:v>
      </x:c>
      <x:c r="D46" s="16" t="n">
        <x:f>IF(A46&lt;=10,'Cost Assumptions'!B4+'Cost Assumptions'!B5,IF(A46&lt;=50,'Cost Assumptions'!C4+'Cost Assumptions'!C5,IF(A46&lt;=100,'Cost Assumptions'!D4+'Cost Assumptions'!D5,'Cost Assumptions'!E4+'Cost Assumptions'!E5)))</x:f>
        <x:v>35000</x:v>
      </x:c>
      <x:c r="E46" s="16" t="n">
        <x:f>A46*IF(A46&lt;=10,'Cost Assumptions'!B6,IF(A46&lt;=50,'Cost Assumptions'!C6,IF(A46&lt;=100,'Cost Assumptions'!D6,'Cost Assumptions'!E6)))</x:f>
        <x:v>105000</x:v>
      </x:c>
      <x:c r="F46" s="16" t="n">
        <x:f>A46*(IF(A46&lt;=10,'Cost Assumptions'!B7+'Cost Assumptions'!B8,IF(A46&lt;=50,'Cost Assumptions'!C7+'Cost Assumptions'!C8,IF(A46&lt;=100,'Cost Assumptions'!D7+'Cost Assumptions'!D8,'Cost Assumptions'!E7+'Cost Assumptions'!E8))))</x:f>
        <x:v>100800</x:v>
      </x:c>
      <x:c r="G46" s="16" t="n">
        <x:f>IF(A46&lt;=10,'Cost Assumptions'!B9,IF(A46&lt;=50,'Cost Assumptions'!C9,IF(A46&lt;=100,MAX('Cost Assumptions'!D9,C46*'Cost Assumptions'!D10),C46*'Cost Assumptions'!E10)))</x:f>
        <x:v>136029.6</x:v>
      </x:c>
      <x:c r="H46" s="16" t="n">
        <x:f>C46*IF(A46&lt;=10,'Cost Assumptions'!B11,IF(A46&lt;=50,'Cost Assumptions'!C11,IF(A46&lt;=100,'Cost Assumptions'!D11,'Cost Assumptions'!E11)))</x:f>
        <x:v>26752.488</x:v>
      </x:c>
      <x:c r="I46" s="16" t="n">
        <x:f>SUM(D46:H46)</x:f>
        <x:v>403582.088</x:v>
      </x:c>
      <x:c r="J46" s="16" t="n">
        <x:f>C46-I46</x:f>
        <x:v>729997.912</x:v>
      </x:c>
      <x:c r="K46" s="20" t="n">
        <x:f>J46/C46</x:f>
        <x:v>0.6439756453007287</x:v>
      </x:c>
      <x:c r="L46" s="11"/>
      <x:c r="M46" s="11"/>
      <x:c r="N46" s="11"/>
      <x:c r="O46" s="11"/>
      <x:c r="P46" s="11"/>
    </x:row>
    <x:row r="47">
      <x:c r="A47" s="11" t="n">
        <x:v>430</x:v>
      </x:c>
      <x:c r="B47" s="16" t="n">
        <x:f>'Pricing Strategy'!$B$8</x:f>
        <x:v>2699</x:v>
      </x:c>
      <x:c r="C47" s="16" t="n">
        <x:f>A47*B47</x:f>
        <x:v>1160570</x:v>
      </x:c>
      <x:c r="D47" s="16" t="n">
        <x:f>IF(A47&lt;=10,'Cost Assumptions'!B4+'Cost Assumptions'!B5,IF(A47&lt;=50,'Cost Assumptions'!C4+'Cost Assumptions'!C5,IF(A47&lt;=100,'Cost Assumptions'!D4+'Cost Assumptions'!D5,'Cost Assumptions'!E4+'Cost Assumptions'!E5)))</x:f>
        <x:v>35000</x:v>
      </x:c>
      <x:c r="E47" s="16" t="n">
        <x:f>A47*IF(A47&lt;=10,'Cost Assumptions'!B6,IF(A47&lt;=50,'Cost Assumptions'!C6,IF(A47&lt;=100,'Cost Assumptions'!D6,'Cost Assumptions'!E6)))</x:f>
        <x:v>107500</x:v>
      </x:c>
      <x:c r="F47" s="16" t="n">
        <x:f>A47*(IF(A47&lt;=10,'Cost Assumptions'!B7+'Cost Assumptions'!B8,IF(A47&lt;=50,'Cost Assumptions'!C7+'Cost Assumptions'!C8,IF(A47&lt;=100,'Cost Assumptions'!D7+'Cost Assumptions'!D8,'Cost Assumptions'!E7+'Cost Assumptions'!E8))))</x:f>
        <x:v>103200</x:v>
      </x:c>
      <x:c r="G47" s="16" t="n">
        <x:f>IF(A47&lt;=10,'Cost Assumptions'!B9,IF(A47&lt;=50,'Cost Assumptions'!C9,IF(A47&lt;=100,MAX('Cost Assumptions'!D9,C47*'Cost Assumptions'!D10),C47*'Cost Assumptions'!E10)))</x:f>
        <x:v>139268.4</x:v>
      </x:c>
      <x:c r="H47" s="16" t="n">
        <x:f>C47*IF(A47&lt;=10,'Cost Assumptions'!B11,IF(A47&lt;=50,'Cost Assumptions'!C11,IF(A47&lt;=100,'Cost Assumptions'!D11,'Cost Assumptions'!E11)))</x:f>
        <x:v>27389.452</x:v>
      </x:c>
      <x:c r="I47" s="16" t="n">
        <x:f>SUM(D47:H47)</x:f>
        <x:v>412357.852</x:v>
      </x:c>
      <x:c r="J47" s="16" t="n">
        <x:f>C47-I47</x:f>
        <x:v>748212.148</x:v>
      </x:c>
      <x:c r="K47" s="20" t="n">
        <x:f>J47/C47</x:f>
        <x:v>0.6446936832763212</x:v>
      </x:c>
      <x:c r="L47" s="11"/>
      <x:c r="M47" s="11"/>
      <x:c r="N47" s="11"/>
      <x:c r="O47" s="11"/>
      <x:c r="P47" s="11"/>
    </x:row>
    <x:row r="48">
      <x:c r="A48" s="11" t="n">
        <x:v>440</x:v>
      </x:c>
      <x:c r="B48" s="16" t="n">
        <x:f>'Pricing Strategy'!$B$8</x:f>
        <x:v>2699</x:v>
      </x:c>
      <x:c r="C48" s="16" t="n">
        <x:f>A48*B48</x:f>
        <x:v>1187560</x:v>
      </x:c>
      <x:c r="D48" s="16" t="n">
        <x:f>IF(A48&lt;=10,'Cost Assumptions'!B4+'Cost Assumptions'!B5,IF(A48&lt;=50,'Cost Assumptions'!C4+'Cost Assumptions'!C5,IF(A48&lt;=100,'Cost Assumptions'!D4+'Cost Assumptions'!D5,'Cost Assumptions'!E4+'Cost Assumptions'!E5)))</x:f>
        <x:v>35000</x:v>
      </x:c>
      <x:c r="E48" s="16" t="n">
        <x:f>A48*IF(A48&lt;=10,'Cost Assumptions'!B6,IF(A48&lt;=50,'Cost Assumptions'!C6,IF(A48&lt;=100,'Cost Assumptions'!D6,'Cost Assumptions'!E6)))</x:f>
        <x:v>110000</x:v>
      </x:c>
      <x:c r="F48" s="16" t="n">
        <x:f>A48*(IF(A48&lt;=10,'Cost Assumptions'!B7+'Cost Assumptions'!B8,IF(A48&lt;=50,'Cost Assumptions'!C7+'Cost Assumptions'!C8,IF(A48&lt;=100,'Cost Assumptions'!D7+'Cost Assumptions'!D8,'Cost Assumptions'!E7+'Cost Assumptions'!E8))))</x:f>
        <x:v>105600</x:v>
      </x:c>
      <x:c r="G48" s="16" t="n">
        <x:f>IF(A48&lt;=10,'Cost Assumptions'!B9,IF(A48&lt;=50,'Cost Assumptions'!C9,IF(A48&lt;=100,MAX('Cost Assumptions'!D9,C48*'Cost Assumptions'!D10),C48*'Cost Assumptions'!E10)))</x:f>
        <x:v>142507.19999999998</x:v>
      </x:c>
      <x:c r="H48" s="16" t="n">
        <x:f>C48*IF(A48&lt;=10,'Cost Assumptions'!B11,IF(A48&lt;=50,'Cost Assumptions'!C11,IF(A48&lt;=100,'Cost Assumptions'!D11,'Cost Assumptions'!E11)))</x:f>
        <x:v>28026.416</x:v>
      </x:c>
      <x:c r="I48" s="16" t="n">
        <x:f>SUM(D48:H48)</x:f>
        <x:v>421133.616</x:v>
      </x:c>
      <x:c r="J48" s="16" t="n">
        <x:f>C48-I48</x:f>
        <x:v>766426.3840000001</x:v>
      </x:c>
      <x:c r="K48" s="20" t="n">
        <x:f>J48/C48</x:f>
        <x:v>0.645379083162114</x:v>
      </x:c>
      <x:c r="L48" s="11"/>
      <x:c r="M48" s="11"/>
      <x:c r="N48" s="11"/>
      <x:c r="O48" s="11"/>
      <x:c r="P48" s="11"/>
    </x:row>
    <x:row r="49">
      <x:c r="A49" s="11" t="n">
        <x:v>450</x:v>
      </x:c>
      <x:c r="B49" s="16" t="n">
        <x:f>'Pricing Strategy'!$B$8</x:f>
        <x:v>2699</x:v>
      </x:c>
      <x:c r="C49" s="16" t="n">
        <x:f>A49*B49</x:f>
        <x:v>1214550</x:v>
      </x:c>
      <x:c r="D49" s="16" t="n">
        <x:f>IF(A49&lt;=10,'Cost Assumptions'!B4+'Cost Assumptions'!B5,IF(A49&lt;=50,'Cost Assumptions'!C4+'Cost Assumptions'!C5,IF(A49&lt;=100,'Cost Assumptions'!D4+'Cost Assumptions'!D5,'Cost Assumptions'!E4+'Cost Assumptions'!E5)))</x:f>
        <x:v>35000</x:v>
      </x:c>
      <x:c r="E49" s="16" t="n">
        <x:f>A49*IF(A49&lt;=10,'Cost Assumptions'!B6,IF(A49&lt;=50,'Cost Assumptions'!C6,IF(A49&lt;=100,'Cost Assumptions'!D6,'Cost Assumptions'!E6)))</x:f>
        <x:v>112500</x:v>
      </x:c>
      <x:c r="F49" s="16" t="n">
        <x:f>A49*(IF(A49&lt;=10,'Cost Assumptions'!B7+'Cost Assumptions'!B8,IF(A49&lt;=50,'Cost Assumptions'!C7+'Cost Assumptions'!C8,IF(A49&lt;=100,'Cost Assumptions'!D7+'Cost Assumptions'!D8,'Cost Assumptions'!E7+'Cost Assumptions'!E8))))</x:f>
        <x:v>108000</x:v>
      </x:c>
      <x:c r="G49" s="16" t="n">
        <x:f>IF(A49&lt;=10,'Cost Assumptions'!B9,IF(A49&lt;=50,'Cost Assumptions'!C9,IF(A49&lt;=100,MAX('Cost Assumptions'!D9,C49*'Cost Assumptions'!D10),C49*'Cost Assumptions'!E10)))</x:f>
        <x:v>145746</x:v>
      </x:c>
      <x:c r="H49" s="16" t="n">
        <x:f>C49*IF(A49&lt;=10,'Cost Assumptions'!B11,IF(A49&lt;=50,'Cost Assumptions'!C11,IF(A49&lt;=100,'Cost Assumptions'!D11,'Cost Assumptions'!E11)))</x:f>
        <x:v>28663.38</x:v>
      </x:c>
      <x:c r="I49" s="16" t="n">
        <x:f>SUM(D49:H49)</x:f>
        <x:v>429909.38</x:v>
      </x:c>
      <x:c r="J49" s="16" t="n">
        <x:f>C49-I49</x:f>
        <x:v>784640.62</x:v>
      </x:c>
      <x:c r="K49" s="20" t="n">
        <x:f>J49/C49</x:f>
        <x:v>0.6460340208307603</x:v>
      </x:c>
      <x:c r="L49" s="11"/>
      <x:c r="M49" s="11"/>
      <x:c r="N49" s="11"/>
      <x:c r="O49" s="11"/>
      <x:c r="P49" s="11"/>
    </x:row>
    <x:row r="50">
      <x:c r="A50" s="11" t="n">
        <x:v>460</x:v>
      </x:c>
      <x:c r="B50" s="16" t="n">
        <x:f>'Pricing Strategy'!$B$8</x:f>
        <x:v>2699</x:v>
      </x:c>
      <x:c r="C50" s="16" t="n">
        <x:f>A50*B50</x:f>
        <x:v>1241540</x:v>
      </x:c>
      <x:c r="D50" s="16" t="n">
        <x:f>IF(A50&lt;=10,'Cost Assumptions'!B4+'Cost Assumptions'!B5,IF(A50&lt;=50,'Cost Assumptions'!C4+'Cost Assumptions'!C5,IF(A50&lt;=100,'Cost Assumptions'!D4+'Cost Assumptions'!D5,'Cost Assumptions'!E4+'Cost Assumptions'!E5)))</x:f>
        <x:v>35000</x:v>
      </x:c>
      <x:c r="E50" s="16" t="n">
        <x:f>A50*IF(A50&lt;=10,'Cost Assumptions'!B6,IF(A50&lt;=50,'Cost Assumptions'!C6,IF(A50&lt;=100,'Cost Assumptions'!D6,'Cost Assumptions'!E6)))</x:f>
        <x:v>115000</x:v>
      </x:c>
      <x:c r="F50" s="16" t="n">
        <x:f>A50*(IF(A50&lt;=10,'Cost Assumptions'!B7+'Cost Assumptions'!B8,IF(A50&lt;=50,'Cost Assumptions'!C7+'Cost Assumptions'!C8,IF(A50&lt;=100,'Cost Assumptions'!D7+'Cost Assumptions'!D8,'Cost Assumptions'!E7+'Cost Assumptions'!E8))))</x:f>
        <x:v>110400</x:v>
      </x:c>
      <x:c r="G50" s="16" t="n">
        <x:f>IF(A50&lt;=10,'Cost Assumptions'!B9,IF(A50&lt;=50,'Cost Assumptions'!C9,IF(A50&lt;=100,MAX('Cost Assumptions'!D9,C50*'Cost Assumptions'!D10),C50*'Cost Assumptions'!E10)))</x:f>
        <x:v>148984.8</x:v>
      </x:c>
      <x:c r="H50" s="16" t="n">
        <x:f>C50*IF(A50&lt;=10,'Cost Assumptions'!B11,IF(A50&lt;=50,'Cost Assumptions'!C11,IF(A50&lt;=100,'Cost Assumptions'!D11,'Cost Assumptions'!E11)))</x:f>
        <x:v>29300.344</x:v>
      </x:c>
      <x:c r="I50" s="16" t="n">
        <x:f>SUM(D50:H50)</x:f>
        <x:v>438685.144</x:v>
      </x:c>
      <x:c r="J50" s="16" t="n">
        <x:f>C50-I50</x:f>
        <x:v>802854.856</x:v>
      </x:c>
      <x:c r="K50" s="20" t="n">
        <x:f>J50/C50</x:f>
        <x:v>0.6466604829485961</x:v>
      </x:c>
      <x:c r="L50" s="11"/>
      <x:c r="M50" s="11"/>
      <x:c r="N50" s="11"/>
      <x:c r="O50" s="11"/>
      <x:c r="P50" s="11"/>
    </x:row>
    <x:row r="51">
      <x:c r="A51" s="11" t="n">
        <x:v>470</x:v>
      </x:c>
      <x:c r="B51" s="16" t="n">
        <x:f>'Pricing Strategy'!$B$8</x:f>
        <x:v>2699</x:v>
      </x:c>
      <x:c r="C51" s="16" t="n">
        <x:f>A51*B51</x:f>
        <x:v>1268530</x:v>
      </x:c>
      <x:c r="D51" s="16" t="n">
        <x:f>IF(A51&lt;=10,'Cost Assumptions'!B4+'Cost Assumptions'!B5,IF(A51&lt;=50,'Cost Assumptions'!C4+'Cost Assumptions'!C5,IF(A51&lt;=100,'Cost Assumptions'!D4+'Cost Assumptions'!D5,'Cost Assumptions'!E4+'Cost Assumptions'!E5)))</x:f>
        <x:v>35000</x:v>
      </x:c>
      <x:c r="E51" s="16" t="n">
        <x:f>A51*IF(A51&lt;=10,'Cost Assumptions'!B6,IF(A51&lt;=50,'Cost Assumptions'!C6,IF(A51&lt;=100,'Cost Assumptions'!D6,'Cost Assumptions'!E6)))</x:f>
        <x:v>117500</x:v>
      </x:c>
      <x:c r="F51" s="16" t="n">
        <x:f>A51*(IF(A51&lt;=10,'Cost Assumptions'!B7+'Cost Assumptions'!B8,IF(A51&lt;=50,'Cost Assumptions'!C7+'Cost Assumptions'!C8,IF(A51&lt;=100,'Cost Assumptions'!D7+'Cost Assumptions'!D8,'Cost Assumptions'!E7+'Cost Assumptions'!E8))))</x:f>
        <x:v>112800</x:v>
      </x:c>
      <x:c r="G51" s="16" t="n">
        <x:f>IF(A51&lt;=10,'Cost Assumptions'!B9,IF(A51&lt;=50,'Cost Assumptions'!C9,IF(A51&lt;=100,MAX('Cost Assumptions'!D9,C51*'Cost Assumptions'!D10),C51*'Cost Assumptions'!E10)))</x:f>
        <x:v>152223.6</x:v>
      </x:c>
      <x:c r="H51" s="16" t="n">
        <x:f>C51*IF(A51&lt;=10,'Cost Assumptions'!B11,IF(A51&lt;=50,'Cost Assumptions'!C11,IF(A51&lt;=100,'Cost Assumptions'!D11,'Cost Assumptions'!E11)))</x:f>
        <x:v>29937.308</x:v>
      </x:c>
      <x:c r="I51" s="16" t="n">
        <x:f>SUM(D51:H51)</x:f>
        <x:v>447460.908</x:v>
      </x:c>
      <x:c r="J51" s="16" t="n">
        <x:f>C51-I51</x:f>
        <x:v>821069.092</x:v>
      </x:c>
      <x:c r="K51" s="20" t="n">
        <x:f>J51/C51</x:f>
        <x:v>0.6472602871039707</x:v>
      </x:c>
      <x:c r="L51" s="11"/>
      <x:c r="M51" s="11"/>
      <x:c r="N51" s="11"/>
      <x:c r="O51" s="11"/>
      <x:c r="P51" s="11"/>
    </x:row>
    <x:row r="52">
      <x:c r="A52" s="11" t="n">
        <x:v>480</x:v>
      </x:c>
      <x:c r="B52" s="16" t="n">
        <x:f>'Pricing Strategy'!$B$8</x:f>
        <x:v>2699</x:v>
      </x:c>
      <x:c r="C52" s="16" t="n">
        <x:f>A52*B52</x:f>
        <x:v>1295520</x:v>
      </x:c>
      <x:c r="D52" s="16" t="n">
        <x:f>IF(A52&lt;=10,'Cost Assumptions'!B4+'Cost Assumptions'!B5,IF(A52&lt;=50,'Cost Assumptions'!C4+'Cost Assumptions'!C5,IF(A52&lt;=100,'Cost Assumptions'!D4+'Cost Assumptions'!D5,'Cost Assumptions'!E4+'Cost Assumptions'!E5)))</x:f>
        <x:v>35000</x:v>
      </x:c>
      <x:c r="E52" s="16" t="n">
        <x:f>A52*IF(A52&lt;=10,'Cost Assumptions'!B6,IF(A52&lt;=50,'Cost Assumptions'!C6,IF(A52&lt;=100,'Cost Assumptions'!D6,'Cost Assumptions'!E6)))</x:f>
        <x:v>120000</x:v>
      </x:c>
      <x:c r="F52" s="16" t="n">
        <x:f>A52*(IF(A52&lt;=10,'Cost Assumptions'!B7+'Cost Assumptions'!B8,IF(A52&lt;=50,'Cost Assumptions'!C7+'Cost Assumptions'!C8,IF(A52&lt;=100,'Cost Assumptions'!D7+'Cost Assumptions'!D8,'Cost Assumptions'!E7+'Cost Assumptions'!E8))))</x:f>
        <x:v>115200</x:v>
      </x:c>
      <x:c r="G52" s="16" t="n">
        <x:f>IF(A52&lt;=10,'Cost Assumptions'!B9,IF(A52&lt;=50,'Cost Assumptions'!C9,IF(A52&lt;=100,MAX('Cost Assumptions'!D9,C52*'Cost Assumptions'!D10),C52*'Cost Assumptions'!E10)))</x:f>
        <x:v>155462.4</x:v>
      </x:c>
      <x:c r="H52" s="16" t="n">
        <x:f>C52*IF(A52&lt;=10,'Cost Assumptions'!B11,IF(A52&lt;=50,'Cost Assumptions'!C11,IF(A52&lt;=100,'Cost Assumptions'!D11,'Cost Assumptions'!E11)))</x:f>
        <x:v>30574.272</x:v>
      </x:c>
      <x:c r="I52" s="16" t="n">
        <x:f>SUM(D52:H52)</x:f>
        <x:v>456236.672</x:v>
      </x:c>
      <x:c r="J52" s="16" t="n">
        <x:f>C52-I52</x:f>
        <x:v>839283.328</x:v>
      </x:c>
      <x:c r="K52" s="20" t="n">
        <x:f>J52/C52</x:f>
        <x:v>0.6478350994195381</x:v>
      </x:c>
      <x:c r="L52" s="11"/>
      <x:c r="M52" s="11"/>
      <x:c r="N52" s="11"/>
      <x:c r="O52" s="11"/>
      <x:c r="P52" s="11"/>
    </x:row>
    <x:row r="53">
      <x:c r="A53" s="11" t="n">
        <x:v>490</x:v>
      </x:c>
      <x:c r="B53" s="16" t="n">
        <x:f>'Pricing Strategy'!$B$8</x:f>
        <x:v>2699</x:v>
      </x:c>
      <x:c r="C53" s="16" t="n">
        <x:f>A53*B53</x:f>
        <x:v>1322510</x:v>
      </x:c>
      <x:c r="D53" s="16" t="n">
        <x:f>IF(A53&lt;=10,'Cost Assumptions'!B4+'Cost Assumptions'!B5,IF(A53&lt;=50,'Cost Assumptions'!C4+'Cost Assumptions'!C5,IF(A53&lt;=100,'Cost Assumptions'!D4+'Cost Assumptions'!D5,'Cost Assumptions'!E4+'Cost Assumptions'!E5)))</x:f>
        <x:v>35000</x:v>
      </x:c>
      <x:c r="E53" s="16" t="n">
        <x:f>A53*IF(A53&lt;=10,'Cost Assumptions'!B6,IF(A53&lt;=50,'Cost Assumptions'!C6,IF(A53&lt;=100,'Cost Assumptions'!D6,'Cost Assumptions'!E6)))</x:f>
        <x:v>122500</x:v>
      </x:c>
      <x:c r="F53" s="16" t="n">
        <x:f>A53*(IF(A53&lt;=10,'Cost Assumptions'!B7+'Cost Assumptions'!B8,IF(A53&lt;=50,'Cost Assumptions'!C7+'Cost Assumptions'!C8,IF(A53&lt;=100,'Cost Assumptions'!D7+'Cost Assumptions'!D8,'Cost Assumptions'!E7+'Cost Assumptions'!E8))))</x:f>
        <x:v>117600</x:v>
      </x:c>
      <x:c r="G53" s="16" t="n">
        <x:f>IF(A53&lt;=10,'Cost Assumptions'!B9,IF(A53&lt;=50,'Cost Assumptions'!C9,IF(A53&lt;=100,MAX('Cost Assumptions'!D9,C53*'Cost Assumptions'!D10),C53*'Cost Assumptions'!E10)))</x:f>
        <x:v>158701.19999999998</x:v>
      </x:c>
      <x:c r="H53" s="16" t="n">
        <x:f>C53*IF(A53&lt;=10,'Cost Assumptions'!B11,IF(A53&lt;=50,'Cost Assumptions'!C11,IF(A53&lt;=100,'Cost Assumptions'!D11,'Cost Assumptions'!E11)))</x:f>
        <x:v>31211.236</x:v>
      </x:c>
      <x:c r="I53" s="16" t="n">
        <x:f>SUM(D53:H53)</x:f>
        <x:v>465012.4359999999</x:v>
      </x:c>
      <x:c r="J53" s="16" t="n">
        <x:f>C53-I53</x:f>
        <x:v>857497.564</x:v>
      </x:c>
      <x:c r="K53" s="20" t="n">
        <x:f>J53/C53</x:f>
        <x:v>0.6483864500079395</x:v>
      </x:c>
      <x:c r="L53" s="11"/>
      <x:c r="M53" s="11"/>
      <x:c r="N53" s="11"/>
      <x:c r="O53" s="11"/>
      <x:c r="P53" s="11"/>
    </x:row>
    <x:row r="54">
      <x:c r="A54" s="11" t="n">
        <x:v>500</x:v>
      </x:c>
      <x:c r="B54" s="16" t="n">
        <x:f>'Pricing Strategy'!$B$8</x:f>
        <x:v>2699</x:v>
      </x:c>
      <x:c r="C54" s="16" t="n">
        <x:f>A54*B54</x:f>
        <x:v>1349500</x:v>
      </x:c>
      <x:c r="D54" s="16" t="n">
        <x:f>IF(A54&lt;=10,'Cost Assumptions'!B4+'Cost Assumptions'!B5,IF(A54&lt;=50,'Cost Assumptions'!C4+'Cost Assumptions'!C5,IF(A54&lt;=100,'Cost Assumptions'!D4+'Cost Assumptions'!D5,'Cost Assumptions'!E4+'Cost Assumptions'!E5)))</x:f>
        <x:v>35000</x:v>
      </x:c>
      <x:c r="E54" s="16" t="n">
        <x:f>A54*IF(A54&lt;=10,'Cost Assumptions'!B6,IF(A54&lt;=50,'Cost Assumptions'!C6,IF(A54&lt;=100,'Cost Assumptions'!D6,'Cost Assumptions'!E6)))</x:f>
        <x:v>125000</x:v>
      </x:c>
      <x:c r="F54" s="16" t="n">
        <x:f>A54*(IF(A54&lt;=10,'Cost Assumptions'!B7+'Cost Assumptions'!B8,IF(A54&lt;=50,'Cost Assumptions'!C7+'Cost Assumptions'!C8,IF(A54&lt;=100,'Cost Assumptions'!D7+'Cost Assumptions'!D8,'Cost Assumptions'!E7+'Cost Assumptions'!E8))))</x:f>
        <x:v>120000</x:v>
      </x:c>
      <x:c r="G54" s="16" t="n">
        <x:f>IF(A54&lt;=10,'Cost Assumptions'!B9,IF(A54&lt;=50,'Cost Assumptions'!C9,IF(A54&lt;=100,MAX('Cost Assumptions'!D9,C54*'Cost Assumptions'!D10),C54*'Cost Assumptions'!E10)))</x:f>
        <x:v>161940</x:v>
      </x:c>
      <x:c r="H54" s="16" t="n">
        <x:f>C54*IF(A54&lt;=10,'Cost Assumptions'!B11,IF(A54&lt;=50,'Cost Assumptions'!C11,IF(A54&lt;=100,'Cost Assumptions'!D11,'Cost Assumptions'!E11)))</x:f>
        <x:v>31848.2</x:v>
      </x:c>
      <x:c r="I54" s="16" t="n">
        <x:f>SUM(D54:H54)</x:f>
        <x:v>473788.2</x:v>
      </x:c>
      <x:c r="J54" s="16" t="n">
        <x:f>C54-I54</x:f>
        <x:v>875711.8</x:v>
      </x:c>
      <x:c r="K54" s="20" t="n">
        <x:f>J54/C54</x:f>
        <x:v>0.6489157465728048</x:v>
      </x:c>
      <x:c r="L54" s="11"/>
      <x:c r="M54" s="11"/>
      <x:c r="N54" s="11"/>
      <x:c r="O54" s="11"/>
      <x:c r="P54" s="11"/>
    </x:row>
    <x:row r="55">
      <x:c r="A55" s="11" t="n">
        <x:v>510</x:v>
      </x:c>
      <x:c r="B55" s="16" t="n">
        <x:f>'Pricing Strategy'!$B$8</x:f>
        <x:v>2699</x:v>
      </x:c>
      <x:c r="C55" s="16" t="n">
        <x:f>A55*B55</x:f>
        <x:v>1376490</x:v>
      </x:c>
      <x:c r="D55" s="16" t="n">
        <x:f>IF(A55&lt;=10,'Cost Assumptions'!B4+'Cost Assumptions'!B5,IF(A55&lt;=50,'Cost Assumptions'!C4+'Cost Assumptions'!C5,IF(A55&lt;=100,'Cost Assumptions'!D4+'Cost Assumptions'!D5,'Cost Assumptions'!E4+'Cost Assumptions'!E5)))</x:f>
        <x:v>35000</x:v>
      </x:c>
      <x:c r="E55" s="16" t="n">
        <x:f>A55*IF(A55&lt;=10,'Cost Assumptions'!B6,IF(A55&lt;=50,'Cost Assumptions'!C6,IF(A55&lt;=100,'Cost Assumptions'!D6,'Cost Assumptions'!E6)))</x:f>
        <x:v>127500</x:v>
      </x:c>
      <x:c r="F55" s="16" t="n">
        <x:f>A55*(IF(A55&lt;=10,'Cost Assumptions'!B7+'Cost Assumptions'!B8,IF(A55&lt;=50,'Cost Assumptions'!C7+'Cost Assumptions'!C8,IF(A55&lt;=100,'Cost Assumptions'!D7+'Cost Assumptions'!D8,'Cost Assumptions'!E7+'Cost Assumptions'!E8))))</x:f>
        <x:v>122400</x:v>
      </x:c>
      <x:c r="G55" s="16" t="n">
        <x:f>IF(A55&lt;=10,'Cost Assumptions'!B9,IF(A55&lt;=50,'Cost Assumptions'!C9,IF(A55&lt;=100,MAX('Cost Assumptions'!D9,C55*'Cost Assumptions'!D10),C55*'Cost Assumptions'!E10)))</x:f>
        <x:v>165178.8</x:v>
      </x:c>
      <x:c r="H55" s="16" t="n">
        <x:f>C55*IF(A55&lt;=10,'Cost Assumptions'!B11,IF(A55&lt;=50,'Cost Assumptions'!C11,IF(A55&lt;=100,'Cost Assumptions'!D11,'Cost Assumptions'!E11)))</x:f>
        <x:v>32485.164</x:v>
      </x:c>
      <x:c r="I55" s="16" t="n">
        <x:f>SUM(D55:H55)</x:f>
        <x:v>482563.964</x:v>
      </x:c>
      <x:c r="J55" s="16" t="n">
        <x:f>C55-I55</x:f>
        <x:v>893926.0360000001</x:v>
      </x:c>
      <x:c r="K55" s="20" t="n">
        <x:f>J55/C55</x:f>
        <x:v>0.6494242864096361</x:v>
      </x:c>
      <x:c r="L55" s="11"/>
      <x:c r="M55" s="11"/>
      <x:c r="N55" s="11"/>
      <x:c r="O55" s="11"/>
      <x:c r="P55" s="11"/>
    </x:row>
    <x:row r="56">
      <x:c r="A56" s="11" t="n">
        <x:v>520</x:v>
      </x:c>
      <x:c r="B56" s="16" t="n">
        <x:f>'Pricing Strategy'!$B$8</x:f>
        <x:v>2699</x:v>
      </x:c>
      <x:c r="C56" s="16" t="n">
        <x:f>A56*B56</x:f>
        <x:v>1403480</x:v>
      </x:c>
      <x:c r="D56" s="16" t="n">
        <x:f>IF(A56&lt;=10,'Cost Assumptions'!B4+'Cost Assumptions'!B5,IF(A56&lt;=50,'Cost Assumptions'!C4+'Cost Assumptions'!C5,IF(A56&lt;=100,'Cost Assumptions'!D4+'Cost Assumptions'!D5,'Cost Assumptions'!E4+'Cost Assumptions'!E5)))</x:f>
        <x:v>35000</x:v>
      </x:c>
      <x:c r="E56" s="16" t="n">
        <x:f>A56*IF(A56&lt;=10,'Cost Assumptions'!B6,IF(A56&lt;=50,'Cost Assumptions'!C6,IF(A56&lt;=100,'Cost Assumptions'!D6,'Cost Assumptions'!E6)))</x:f>
        <x:v>130000</x:v>
      </x:c>
      <x:c r="F56" s="16" t="n">
        <x:f>A56*(IF(A56&lt;=10,'Cost Assumptions'!B7+'Cost Assumptions'!B8,IF(A56&lt;=50,'Cost Assumptions'!C7+'Cost Assumptions'!C8,IF(A56&lt;=100,'Cost Assumptions'!D7+'Cost Assumptions'!D8,'Cost Assumptions'!E7+'Cost Assumptions'!E8))))</x:f>
        <x:v>124800</x:v>
      </x:c>
      <x:c r="G56" s="16" t="n">
        <x:f>IF(A56&lt;=10,'Cost Assumptions'!B9,IF(A56&lt;=50,'Cost Assumptions'!C9,IF(A56&lt;=100,MAX('Cost Assumptions'!D9,C56*'Cost Assumptions'!D10),C56*'Cost Assumptions'!E10)))</x:f>
        <x:v>168417.6</x:v>
      </x:c>
      <x:c r="H56" s="16" t="n">
        <x:f>C56*IF(A56&lt;=10,'Cost Assumptions'!B11,IF(A56&lt;=50,'Cost Assumptions'!C11,IF(A56&lt;=100,'Cost Assumptions'!D11,'Cost Assumptions'!E11)))</x:f>
        <x:v>33122.128</x:v>
      </x:c>
      <x:c r="I56" s="16" t="n">
        <x:f>SUM(D56:H56)</x:f>
        <x:v>491339.728</x:v>
      </x:c>
      <x:c r="J56" s="16" t="n">
        <x:f>C56-I56</x:f>
        <x:v>912140.272</x:v>
      </x:c>
      <x:c r="K56" s="20" t="n">
        <x:f>J56/C56</x:f>
        <x:v>0.6499132670219739</x:v>
      </x:c>
      <x:c r="L56" s="11"/>
      <x:c r="M56" s="11"/>
      <x:c r="N56" s="11"/>
      <x:c r="O56" s="11"/>
      <x:c r="P56" s="11"/>
    </x:row>
    <x:row r="57">
      <x:c r="A57" s="11" t="n">
        <x:v>530</x:v>
      </x:c>
      <x:c r="B57" s="16" t="n">
        <x:f>'Pricing Strategy'!$B$8</x:f>
        <x:v>2699</x:v>
      </x:c>
      <x:c r="C57" s="16" t="n">
        <x:f>A57*B57</x:f>
        <x:v>1430470</x:v>
      </x:c>
      <x:c r="D57" s="16" t="n">
        <x:f>IF(A57&lt;=10,'Cost Assumptions'!B4+'Cost Assumptions'!B5,IF(A57&lt;=50,'Cost Assumptions'!C4+'Cost Assumptions'!C5,IF(A57&lt;=100,'Cost Assumptions'!D4+'Cost Assumptions'!D5,'Cost Assumptions'!E4+'Cost Assumptions'!E5)))</x:f>
        <x:v>35000</x:v>
      </x:c>
      <x:c r="E57" s="16" t="n">
        <x:f>A57*IF(A57&lt;=10,'Cost Assumptions'!B6,IF(A57&lt;=50,'Cost Assumptions'!C6,IF(A57&lt;=100,'Cost Assumptions'!D6,'Cost Assumptions'!E6)))</x:f>
        <x:v>132500</x:v>
      </x:c>
      <x:c r="F57" s="16" t="n">
        <x:f>A57*(IF(A57&lt;=10,'Cost Assumptions'!B7+'Cost Assumptions'!B8,IF(A57&lt;=50,'Cost Assumptions'!C7+'Cost Assumptions'!C8,IF(A57&lt;=100,'Cost Assumptions'!D7+'Cost Assumptions'!D8,'Cost Assumptions'!E7+'Cost Assumptions'!E8))))</x:f>
        <x:v>127200</x:v>
      </x:c>
      <x:c r="G57" s="16" t="n">
        <x:f>IF(A57&lt;=10,'Cost Assumptions'!B9,IF(A57&lt;=50,'Cost Assumptions'!C9,IF(A57&lt;=100,MAX('Cost Assumptions'!D9,C57*'Cost Assumptions'!D10),C57*'Cost Assumptions'!E10)))</x:f>
        <x:v>171656.4</x:v>
      </x:c>
      <x:c r="H57" s="16" t="n">
        <x:f>C57*IF(A57&lt;=10,'Cost Assumptions'!B11,IF(A57&lt;=50,'Cost Assumptions'!C11,IF(A57&lt;=100,'Cost Assumptions'!D11,'Cost Assumptions'!E11)))</x:f>
        <x:v>33759.092</x:v>
      </x:c>
      <x:c r="I57" s="16" t="n">
        <x:f>SUM(D57:H57)</x:f>
        <x:v>500115.492</x:v>
      </x:c>
      <x:c r="J57" s="16" t="n">
        <x:f>C57-I57</x:f>
        <x:v>930354.5079999999</x:v>
      </x:c>
      <x:c r="K57" s="20" t="n">
        <x:f>J57/C57</x:f>
        <x:v>0.650383795535733</x:v>
      </x:c>
      <x:c r="L57" s="11"/>
      <x:c r="M57" s="11"/>
      <x:c r="N57" s="11"/>
      <x:c r="O57" s="11"/>
      <x:c r="P57" s="11"/>
    </x:row>
    <x:row r="58">
      <x:c r="A58" s="11" t="n">
        <x:v>540</x:v>
      </x:c>
      <x:c r="B58" s="16" t="n">
        <x:f>'Pricing Strategy'!$B$8</x:f>
        <x:v>2699</x:v>
      </x:c>
      <x:c r="C58" s="16" t="n">
        <x:f>A58*B58</x:f>
        <x:v>1457460</x:v>
      </x:c>
      <x:c r="D58" s="16" t="n">
        <x:f>IF(A58&lt;=10,'Cost Assumptions'!B4+'Cost Assumptions'!B5,IF(A58&lt;=50,'Cost Assumptions'!C4+'Cost Assumptions'!C5,IF(A58&lt;=100,'Cost Assumptions'!D4+'Cost Assumptions'!D5,'Cost Assumptions'!E4+'Cost Assumptions'!E5)))</x:f>
        <x:v>35000</x:v>
      </x:c>
      <x:c r="E58" s="16" t="n">
        <x:f>A58*IF(A58&lt;=10,'Cost Assumptions'!B6,IF(A58&lt;=50,'Cost Assumptions'!C6,IF(A58&lt;=100,'Cost Assumptions'!D6,'Cost Assumptions'!E6)))</x:f>
        <x:v>135000</x:v>
      </x:c>
      <x:c r="F58" s="16" t="n">
        <x:f>A58*(IF(A58&lt;=10,'Cost Assumptions'!B7+'Cost Assumptions'!B8,IF(A58&lt;=50,'Cost Assumptions'!C7+'Cost Assumptions'!C8,IF(A58&lt;=100,'Cost Assumptions'!D7+'Cost Assumptions'!D8,'Cost Assumptions'!E7+'Cost Assumptions'!E8))))</x:f>
        <x:v>129600</x:v>
      </x:c>
      <x:c r="G58" s="16" t="n">
        <x:f>IF(A58&lt;=10,'Cost Assumptions'!B9,IF(A58&lt;=50,'Cost Assumptions'!C9,IF(A58&lt;=100,MAX('Cost Assumptions'!D9,C58*'Cost Assumptions'!D10),C58*'Cost Assumptions'!E10)))</x:f>
        <x:v>174895.19999999998</x:v>
      </x:c>
      <x:c r="H58" s="16" t="n">
        <x:f>C58*IF(A58&lt;=10,'Cost Assumptions'!B11,IF(A58&lt;=50,'Cost Assumptions'!C11,IF(A58&lt;=100,'Cost Assumptions'!D11,'Cost Assumptions'!E11)))</x:f>
        <x:v>34396.056</x:v>
      </x:c>
      <x:c r="I58" s="16" t="n">
        <x:f>SUM(D58:H58)</x:f>
        <x:v>508891.25599999994</x:v>
      </x:c>
      <x:c r="J58" s="16" t="n">
        <x:f>C58-I58</x:f>
        <x:v>948568.7440000001</x:v>
      </x:c>
      <x:c r="K58" s="20" t="n">
        <x:f>J58/C58</x:f>
        <x:v>0.650836897067501</x:v>
      </x:c>
      <x:c r="L58" s="11"/>
      <x:c r="M58" s="11"/>
      <x:c r="N58" s="11"/>
      <x:c r="O58" s="11"/>
      <x:c r="P58" s="11"/>
    </x:row>
    <x:row r="59">
      <x:c r="A59" s="11" t="n">
        <x:v>550</x:v>
      </x:c>
      <x:c r="B59" s="16" t="n">
        <x:f>'Pricing Strategy'!$B$8</x:f>
        <x:v>2699</x:v>
      </x:c>
      <x:c r="C59" s="16" t="n">
        <x:f>A59*B59</x:f>
        <x:v>1484450</x:v>
      </x:c>
      <x:c r="D59" s="16" t="n">
        <x:f>IF(A59&lt;=10,'Cost Assumptions'!B4+'Cost Assumptions'!B5,IF(A59&lt;=50,'Cost Assumptions'!C4+'Cost Assumptions'!C5,IF(A59&lt;=100,'Cost Assumptions'!D4+'Cost Assumptions'!D5,'Cost Assumptions'!E4+'Cost Assumptions'!E5)))</x:f>
        <x:v>35000</x:v>
      </x:c>
      <x:c r="E59" s="16" t="n">
        <x:f>A59*IF(A59&lt;=10,'Cost Assumptions'!B6,IF(A59&lt;=50,'Cost Assumptions'!C6,IF(A59&lt;=100,'Cost Assumptions'!D6,'Cost Assumptions'!E6)))</x:f>
        <x:v>137500</x:v>
      </x:c>
      <x:c r="F59" s="16" t="n">
        <x:f>A59*(IF(A59&lt;=10,'Cost Assumptions'!B7+'Cost Assumptions'!B8,IF(A59&lt;=50,'Cost Assumptions'!C7+'Cost Assumptions'!C8,IF(A59&lt;=100,'Cost Assumptions'!D7+'Cost Assumptions'!D8,'Cost Assumptions'!E7+'Cost Assumptions'!E8))))</x:f>
        <x:v>132000</x:v>
      </x:c>
      <x:c r="G59" s="16" t="n">
        <x:f>IF(A59&lt;=10,'Cost Assumptions'!B9,IF(A59&lt;=50,'Cost Assumptions'!C9,IF(A59&lt;=100,MAX('Cost Assumptions'!D9,C59*'Cost Assumptions'!D10),C59*'Cost Assumptions'!E10)))</x:f>
        <x:v>178134</x:v>
      </x:c>
      <x:c r="H59" s="16" t="n">
        <x:f>C59*IF(A59&lt;=10,'Cost Assumptions'!B11,IF(A59&lt;=50,'Cost Assumptions'!C11,IF(A59&lt;=100,'Cost Assumptions'!D11,'Cost Assumptions'!E11)))</x:f>
        <x:v>35033.02</x:v>
      </x:c>
      <x:c r="I59" s="16" t="n">
        <x:f>SUM(D59:H59)</x:f>
        <x:v>517667.02</x:v>
      </x:c>
      <x:c r="J59" s="16" t="n">
        <x:f>C59-I59</x:f>
        <x:v>966782.98</x:v>
      </x:c>
      <x:c r="K59" s="20" t="n">
        <x:f>J59/C59</x:f>
        <x:v>0.651273522179932</x:v>
      </x:c>
      <x:c r="L59" s="11"/>
      <x:c r="M59" s="11"/>
      <x:c r="N59" s="11"/>
      <x:c r="O59" s="11"/>
      <x:c r="P59" s="11"/>
    </x:row>
    <x:row r="60">
      <x:c r="A60" s="11" t="n">
        <x:v>560</x:v>
      </x:c>
      <x:c r="B60" s="16" t="n">
        <x:f>'Pricing Strategy'!$B$8</x:f>
        <x:v>2699</x:v>
      </x:c>
      <x:c r="C60" s="16" t="n">
        <x:f>A60*B60</x:f>
        <x:v>1511440</x:v>
      </x:c>
      <x:c r="D60" s="16" t="n">
        <x:f>IF(A60&lt;=10,'Cost Assumptions'!B4+'Cost Assumptions'!B5,IF(A60&lt;=50,'Cost Assumptions'!C4+'Cost Assumptions'!C5,IF(A60&lt;=100,'Cost Assumptions'!D4+'Cost Assumptions'!D5,'Cost Assumptions'!E4+'Cost Assumptions'!E5)))</x:f>
        <x:v>35000</x:v>
      </x:c>
      <x:c r="E60" s="16" t="n">
        <x:f>A60*IF(A60&lt;=10,'Cost Assumptions'!B6,IF(A60&lt;=50,'Cost Assumptions'!C6,IF(A60&lt;=100,'Cost Assumptions'!D6,'Cost Assumptions'!E6)))</x:f>
        <x:v>140000</x:v>
      </x:c>
      <x:c r="F60" s="16" t="n">
        <x:f>A60*(IF(A60&lt;=10,'Cost Assumptions'!B7+'Cost Assumptions'!B8,IF(A60&lt;=50,'Cost Assumptions'!C7+'Cost Assumptions'!C8,IF(A60&lt;=100,'Cost Assumptions'!D7+'Cost Assumptions'!D8,'Cost Assumptions'!E7+'Cost Assumptions'!E8))))</x:f>
        <x:v>134400</x:v>
      </x:c>
      <x:c r="G60" s="16" t="n">
        <x:f>IF(A60&lt;=10,'Cost Assumptions'!B9,IF(A60&lt;=50,'Cost Assumptions'!C9,IF(A60&lt;=100,MAX('Cost Assumptions'!D9,C60*'Cost Assumptions'!D10),C60*'Cost Assumptions'!E10)))</x:f>
        <x:v>181372.8</x:v>
      </x:c>
      <x:c r="H60" s="16" t="n">
        <x:f>C60*IF(A60&lt;=10,'Cost Assumptions'!B11,IF(A60&lt;=50,'Cost Assumptions'!C11,IF(A60&lt;=100,'Cost Assumptions'!D11,'Cost Assumptions'!E11)))</x:f>
        <x:v>35669.984</x:v>
      </x:c>
      <x:c r="I60" s="16" t="n">
        <x:f>SUM(D60:H60)</x:f>
        <x:v>526442.784</x:v>
      </x:c>
      <x:c r="J60" s="16" t="n">
        <x:f>C60-I60</x:f>
        <x:v>984997.216</x:v>
      </x:c>
      <x:c r="K60" s="20" t="n">
        <x:f>J60/C60</x:f>
        <x:v>0.6516945535383476</x:v>
      </x:c>
      <x:c r="L60" s="11"/>
      <x:c r="M60" s="11"/>
      <x:c r="N60" s="11"/>
      <x:c r="O60" s="11"/>
      <x:c r="P60" s="11"/>
    </x:row>
    <x:row r="61">
      <x:c r="A61" s="11" t="n">
        <x:v>570</x:v>
      </x:c>
      <x:c r="B61" s="16" t="n">
        <x:f>'Pricing Strategy'!$B$8</x:f>
        <x:v>2699</x:v>
      </x:c>
      <x:c r="C61" s="16" t="n">
        <x:f>A61*B61</x:f>
        <x:v>1538430</x:v>
      </x:c>
      <x:c r="D61" s="16" t="n">
        <x:f>IF(A61&lt;=10,'Cost Assumptions'!B4+'Cost Assumptions'!B5,IF(A61&lt;=50,'Cost Assumptions'!C4+'Cost Assumptions'!C5,IF(A61&lt;=100,'Cost Assumptions'!D4+'Cost Assumptions'!D5,'Cost Assumptions'!E4+'Cost Assumptions'!E5)))</x:f>
        <x:v>35000</x:v>
      </x:c>
      <x:c r="E61" s="16" t="n">
        <x:f>A61*IF(A61&lt;=10,'Cost Assumptions'!B6,IF(A61&lt;=50,'Cost Assumptions'!C6,IF(A61&lt;=100,'Cost Assumptions'!D6,'Cost Assumptions'!E6)))</x:f>
        <x:v>142500</x:v>
      </x:c>
      <x:c r="F61" s="16" t="n">
        <x:f>A61*(IF(A61&lt;=10,'Cost Assumptions'!B7+'Cost Assumptions'!B8,IF(A61&lt;=50,'Cost Assumptions'!C7+'Cost Assumptions'!C8,IF(A61&lt;=100,'Cost Assumptions'!D7+'Cost Assumptions'!D8,'Cost Assumptions'!E7+'Cost Assumptions'!E8))))</x:f>
        <x:v>136800</x:v>
      </x:c>
      <x:c r="G61" s="16" t="n">
        <x:f>IF(A61&lt;=10,'Cost Assumptions'!B9,IF(A61&lt;=50,'Cost Assumptions'!C9,IF(A61&lt;=100,MAX('Cost Assumptions'!D9,C61*'Cost Assumptions'!D10),C61*'Cost Assumptions'!E10)))</x:f>
        <x:v>184611.6</x:v>
      </x:c>
      <x:c r="H61" s="16" t="n">
        <x:f>C61*IF(A61&lt;=10,'Cost Assumptions'!B11,IF(A61&lt;=50,'Cost Assumptions'!C11,IF(A61&lt;=100,'Cost Assumptions'!D11,'Cost Assumptions'!E11)))</x:f>
        <x:v>36306.948</x:v>
      </x:c>
      <x:c r="I61" s="16" t="n">
        <x:f>SUM(D61:H61)</x:f>
        <x:v>535218.548</x:v>
      </x:c>
      <x:c r="J61" s="16" t="n">
        <x:f>C61-I61</x:f>
        <x:v>1003211.452</x:v>
      </x:c>
      <x:c r="K61" s="20" t="n">
        <x:f>J61/C61</x:f>
        <x:v>0.6521008118666433</x:v>
      </x:c>
      <x:c r="L61" s="11"/>
      <x:c r="M61" s="11"/>
      <x:c r="N61" s="11"/>
      <x:c r="O61" s="11"/>
      <x:c r="P61" s="11"/>
    </x:row>
    <x:row r="62">
      <x:c r="A62" s="11" t="n">
        <x:v>580</x:v>
      </x:c>
      <x:c r="B62" s="16" t="n">
        <x:f>'Pricing Strategy'!$B$8</x:f>
        <x:v>2699</x:v>
      </x:c>
      <x:c r="C62" s="16" t="n">
        <x:f>A62*B62</x:f>
        <x:v>1565420</x:v>
      </x:c>
      <x:c r="D62" s="16" t="n">
        <x:f>IF(A62&lt;=10,'Cost Assumptions'!B4+'Cost Assumptions'!B5,IF(A62&lt;=50,'Cost Assumptions'!C4+'Cost Assumptions'!C5,IF(A62&lt;=100,'Cost Assumptions'!D4+'Cost Assumptions'!D5,'Cost Assumptions'!E4+'Cost Assumptions'!E5)))</x:f>
        <x:v>35000</x:v>
      </x:c>
      <x:c r="E62" s="16" t="n">
        <x:f>A62*IF(A62&lt;=10,'Cost Assumptions'!B6,IF(A62&lt;=50,'Cost Assumptions'!C6,IF(A62&lt;=100,'Cost Assumptions'!D6,'Cost Assumptions'!E6)))</x:f>
        <x:v>145000</x:v>
      </x:c>
      <x:c r="F62" s="16" t="n">
        <x:f>A62*(IF(A62&lt;=10,'Cost Assumptions'!B7+'Cost Assumptions'!B8,IF(A62&lt;=50,'Cost Assumptions'!C7+'Cost Assumptions'!C8,IF(A62&lt;=100,'Cost Assumptions'!D7+'Cost Assumptions'!D8,'Cost Assumptions'!E7+'Cost Assumptions'!E8))))</x:f>
        <x:v>139200</x:v>
      </x:c>
      <x:c r="G62" s="16" t="n">
        <x:f>IF(A62&lt;=10,'Cost Assumptions'!B9,IF(A62&lt;=50,'Cost Assumptions'!C9,IF(A62&lt;=100,MAX('Cost Assumptions'!D9,C62*'Cost Assumptions'!D10),C62*'Cost Assumptions'!E10)))</x:f>
        <x:v>187850.4</x:v>
      </x:c>
      <x:c r="H62" s="16" t="n">
        <x:f>C62*IF(A62&lt;=10,'Cost Assumptions'!B11,IF(A62&lt;=50,'Cost Assumptions'!C11,IF(A62&lt;=100,'Cost Assumptions'!D11,'Cost Assumptions'!E11)))</x:f>
        <x:v>36943.912</x:v>
      </x:c>
      <x:c r="I62" s="16" t="n">
        <x:f>SUM(D62:H62)</x:f>
        <x:v>543994.312</x:v>
      </x:c>
      <x:c r="J62" s="16" t="n">
        <x:f>C62-I62</x:f>
        <x:v>1021425.688</x:v>
      </x:c>
      <x:c r="K62" s="20" t="n">
        <x:f>J62/C62</x:f>
        <x:v>0.6524930612870667</x:v>
      </x:c>
      <x:c r="L62" s="11"/>
      <x:c r="M62" s="11"/>
      <x:c r="N62" s="11"/>
      <x:c r="O62" s="11"/>
      <x:c r="P62" s="11"/>
    </x:row>
    <x:row r="63">
      <x:c r="A63" s="11" t="n">
        <x:v>590</x:v>
      </x:c>
      <x:c r="B63" s="16" t="n">
        <x:f>'Pricing Strategy'!$B$8</x:f>
        <x:v>2699</x:v>
      </x:c>
      <x:c r="C63" s="16" t="n">
        <x:f>A63*B63</x:f>
        <x:v>1592410</x:v>
      </x:c>
      <x:c r="D63" s="16" t="n">
        <x:f>IF(A63&lt;=10,'Cost Assumptions'!B4+'Cost Assumptions'!B5,IF(A63&lt;=50,'Cost Assumptions'!C4+'Cost Assumptions'!C5,IF(A63&lt;=100,'Cost Assumptions'!D4+'Cost Assumptions'!D5,'Cost Assumptions'!E4+'Cost Assumptions'!E5)))</x:f>
        <x:v>35000</x:v>
      </x:c>
      <x:c r="E63" s="16" t="n">
        <x:f>A63*IF(A63&lt;=10,'Cost Assumptions'!B6,IF(A63&lt;=50,'Cost Assumptions'!C6,IF(A63&lt;=100,'Cost Assumptions'!D6,'Cost Assumptions'!E6)))</x:f>
        <x:v>147500</x:v>
      </x:c>
      <x:c r="F63" s="16" t="n">
        <x:f>A63*(IF(A63&lt;=10,'Cost Assumptions'!B7+'Cost Assumptions'!B8,IF(A63&lt;=50,'Cost Assumptions'!C7+'Cost Assumptions'!C8,IF(A63&lt;=100,'Cost Assumptions'!D7+'Cost Assumptions'!D8,'Cost Assumptions'!E7+'Cost Assumptions'!E8))))</x:f>
        <x:v>141600</x:v>
      </x:c>
      <x:c r="G63" s="16" t="n">
        <x:f>IF(A63&lt;=10,'Cost Assumptions'!B9,IF(A63&lt;=50,'Cost Assumptions'!C9,IF(A63&lt;=100,MAX('Cost Assumptions'!D9,C63*'Cost Assumptions'!D10),C63*'Cost Assumptions'!E10)))</x:f>
        <x:v>191089.19999999998</x:v>
      </x:c>
      <x:c r="H63" s="16" t="n">
        <x:f>C63*IF(A63&lt;=10,'Cost Assumptions'!B11,IF(A63&lt;=50,'Cost Assumptions'!C11,IF(A63&lt;=100,'Cost Assumptions'!D11,'Cost Assumptions'!E11)))</x:f>
        <x:v>37580.876</x:v>
      </x:c>
      <x:c r="I63" s="16" t="n">
        <x:f>SUM(D63:H63)</x:f>
        <x:v>552770.076</x:v>
      </x:c>
      <x:c r="J63" s="16" t="n">
        <x:f>C63-I63</x:f>
        <x:v>1039639.924</x:v>
      </x:c>
      <x:c r="K63" s="20" t="n">
        <x:f>J63/C63</x:f>
        <x:v>0.6528720141169674</x:v>
      </x:c>
      <x:c r="L63" s="11"/>
      <x:c r="M63" s="11"/>
      <x:c r="N63" s="11"/>
      <x:c r="O63" s="11"/>
      <x:c r="P63" s="11"/>
    </x:row>
    <x:row r="64">
      <x:c r="A64" s="11" t="n">
        <x:v>600</x:v>
      </x:c>
      <x:c r="B64" s="16" t="n">
        <x:f>'Pricing Strategy'!$B$8</x:f>
        <x:v>2699</x:v>
      </x:c>
      <x:c r="C64" s="16" t="n">
        <x:f>A64*B64</x:f>
        <x:v>1619400</x:v>
      </x:c>
      <x:c r="D64" s="16" t="n">
        <x:f>IF(A64&lt;=10,'Cost Assumptions'!B4+'Cost Assumptions'!B5,IF(A64&lt;=50,'Cost Assumptions'!C4+'Cost Assumptions'!C5,IF(A64&lt;=100,'Cost Assumptions'!D4+'Cost Assumptions'!D5,'Cost Assumptions'!E4+'Cost Assumptions'!E5)))</x:f>
        <x:v>35000</x:v>
      </x:c>
      <x:c r="E64" s="16" t="n">
        <x:f>A64*IF(A64&lt;=10,'Cost Assumptions'!B6,IF(A64&lt;=50,'Cost Assumptions'!C6,IF(A64&lt;=100,'Cost Assumptions'!D6,'Cost Assumptions'!E6)))</x:f>
        <x:v>150000</x:v>
      </x:c>
      <x:c r="F64" s="16" t="n">
        <x:f>A64*(IF(A64&lt;=10,'Cost Assumptions'!B7+'Cost Assumptions'!B8,IF(A64&lt;=50,'Cost Assumptions'!C7+'Cost Assumptions'!C8,IF(A64&lt;=100,'Cost Assumptions'!D7+'Cost Assumptions'!D8,'Cost Assumptions'!E7+'Cost Assumptions'!E8))))</x:f>
        <x:v>144000</x:v>
      </x:c>
      <x:c r="G64" s="16" t="n">
        <x:f>IF(A64&lt;=10,'Cost Assumptions'!B9,IF(A64&lt;=50,'Cost Assumptions'!C9,IF(A64&lt;=100,MAX('Cost Assumptions'!D9,C64*'Cost Assumptions'!D10),C64*'Cost Assumptions'!E10)))</x:f>
        <x:v>194328</x:v>
      </x:c>
      <x:c r="H64" s="16" t="n">
        <x:f>C64*IF(A64&lt;=10,'Cost Assumptions'!B11,IF(A64&lt;=50,'Cost Assumptions'!C11,IF(A64&lt;=100,'Cost Assumptions'!D11,'Cost Assumptions'!E11)))</x:f>
        <x:v>38217.84</x:v>
      </x:c>
      <x:c r="I64" s="16" t="n">
        <x:f>SUM(D64:H64)</x:f>
        <x:v>561545.84</x:v>
      </x:c>
      <x:c r="J64" s="16" t="n">
        <x:f>C64-I64</x:f>
        <x:v>1057854.1600000001</x:v>
      </x:c>
      <x:c r="K64" s="20" t="n">
        <x:f>J64/C64</x:f>
        <x:v>0.6532383351858714</x:v>
      </x:c>
      <x:c r="L64" s="11"/>
      <x:c r="M64" s="11"/>
      <x:c r="N64" s="11"/>
      <x:c r="O64" s="11"/>
      <x:c r="P64" s="11"/>
    </x:row>
    <x:row r="65">
      <x:c r="A65" s="11" t="n">
        <x:v>610</x:v>
      </x:c>
      <x:c r="B65" s="16" t="n">
        <x:f>'Pricing Strategy'!$B$8</x:f>
        <x:v>2699</x:v>
      </x:c>
      <x:c r="C65" s="16" t="n">
        <x:f>A65*B65</x:f>
        <x:v>1646390</x:v>
      </x:c>
      <x:c r="D65" s="16" t="n">
        <x:f>IF(A65&lt;=10,'Cost Assumptions'!B4+'Cost Assumptions'!B5,IF(A65&lt;=50,'Cost Assumptions'!C4+'Cost Assumptions'!C5,IF(A65&lt;=100,'Cost Assumptions'!D4+'Cost Assumptions'!D5,'Cost Assumptions'!E4+'Cost Assumptions'!E5)))</x:f>
        <x:v>35000</x:v>
      </x:c>
      <x:c r="E65" s="16" t="n">
        <x:f>A65*IF(A65&lt;=10,'Cost Assumptions'!B6,IF(A65&lt;=50,'Cost Assumptions'!C6,IF(A65&lt;=100,'Cost Assumptions'!D6,'Cost Assumptions'!E6)))</x:f>
        <x:v>152500</x:v>
      </x:c>
      <x:c r="F65" s="16" t="n">
        <x:f>A65*(IF(A65&lt;=10,'Cost Assumptions'!B7+'Cost Assumptions'!B8,IF(A65&lt;=50,'Cost Assumptions'!C7+'Cost Assumptions'!C8,IF(A65&lt;=100,'Cost Assumptions'!D7+'Cost Assumptions'!D8,'Cost Assumptions'!E7+'Cost Assumptions'!E8))))</x:f>
        <x:v>146400</x:v>
      </x:c>
      <x:c r="G65" s="16" t="n">
        <x:f>IF(A65&lt;=10,'Cost Assumptions'!B9,IF(A65&lt;=50,'Cost Assumptions'!C9,IF(A65&lt;=100,MAX('Cost Assumptions'!D9,C65*'Cost Assumptions'!D10),C65*'Cost Assumptions'!E10)))</x:f>
        <x:v>197566.8</x:v>
      </x:c>
      <x:c r="H65" s="16" t="n">
        <x:f>C65*IF(A65&lt;=10,'Cost Assumptions'!B11,IF(A65&lt;=50,'Cost Assumptions'!C11,IF(A65&lt;=100,'Cost Assumptions'!D11,'Cost Assumptions'!E11)))</x:f>
        <x:v>38854.804</x:v>
      </x:c>
      <x:c r="I65" s="16" t="n">
        <x:f>SUM(D65:H65)</x:f>
        <x:v>570321.604</x:v>
      </x:c>
      <x:c r="J65" s="16" t="n">
        <x:f>C65-I65</x:f>
        <x:v>1076068.396</x:v>
      </x:c>
      <x:c r="K65" s="20" t="n">
        <x:f>J65/C65</x:f>
        <x:v>0.653592645727926</x:v>
      </x:c>
      <x:c r="L65" s="11"/>
      <x:c r="M65" s="11"/>
      <x:c r="N65" s="11"/>
      <x:c r="O65" s="11"/>
      <x:c r="P65" s="11"/>
    </x:row>
    <x:row r="66">
      <x:c r="A66" s="11" t="n">
        <x:v>620</x:v>
      </x:c>
      <x:c r="B66" s="16" t="n">
        <x:f>'Pricing Strategy'!$B$8</x:f>
        <x:v>2699</x:v>
      </x:c>
      <x:c r="C66" s="16" t="n">
        <x:f>A66*B66</x:f>
        <x:v>1673380</x:v>
      </x:c>
      <x:c r="D66" s="16" t="n">
        <x:f>IF(A66&lt;=10,'Cost Assumptions'!B4+'Cost Assumptions'!B5,IF(A66&lt;=50,'Cost Assumptions'!C4+'Cost Assumptions'!C5,IF(A66&lt;=100,'Cost Assumptions'!D4+'Cost Assumptions'!D5,'Cost Assumptions'!E4+'Cost Assumptions'!E5)))</x:f>
        <x:v>35000</x:v>
      </x:c>
      <x:c r="E66" s="16" t="n">
        <x:f>A66*IF(A66&lt;=10,'Cost Assumptions'!B6,IF(A66&lt;=50,'Cost Assumptions'!C6,IF(A66&lt;=100,'Cost Assumptions'!D6,'Cost Assumptions'!E6)))</x:f>
        <x:v>155000</x:v>
      </x:c>
      <x:c r="F66" s="16" t="n">
        <x:f>A66*(IF(A66&lt;=10,'Cost Assumptions'!B7+'Cost Assumptions'!B8,IF(A66&lt;=50,'Cost Assumptions'!C7+'Cost Assumptions'!C8,IF(A66&lt;=100,'Cost Assumptions'!D7+'Cost Assumptions'!D8,'Cost Assumptions'!E7+'Cost Assumptions'!E8))))</x:f>
        <x:v>148800</x:v>
      </x:c>
      <x:c r="G66" s="16" t="n">
        <x:f>IF(A66&lt;=10,'Cost Assumptions'!B9,IF(A66&lt;=50,'Cost Assumptions'!C9,IF(A66&lt;=100,MAX('Cost Assumptions'!D9,C66*'Cost Assumptions'!D10),C66*'Cost Assumptions'!E10)))</x:f>
        <x:v>200805.6</x:v>
      </x:c>
      <x:c r="H66" s="16" t="n">
        <x:f>C66*IF(A66&lt;=10,'Cost Assumptions'!B11,IF(A66&lt;=50,'Cost Assumptions'!C11,IF(A66&lt;=100,'Cost Assumptions'!D11,'Cost Assumptions'!E11)))</x:f>
        <x:v>39491.768</x:v>
      </x:c>
      <x:c r="I66" s="16" t="n">
        <x:f>SUM(D66:H66)</x:f>
        <x:v>579097.368</x:v>
      </x:c>
      <x:c r="J66" s="16" t="n">
        <x:f>C66-I66</x:f>
        <x:v>1094282.632</x:v>
      </x:c>
      <x:c r="K66" s="20" t="n">
        <x:f>J66/C66</x:f>
        <x:v>0.6539355268976562</x:v>
      </x:c>
      <x:c r="L66" s="11"/>
      <x:c r="M66" s="11"/>
      <x:c r="N66" s="11"/>
      <x:c r="O66" s="11"/>
      <x:c r="P66" s="11"/>
    </x:row>
    <x:row r="67">
      <x:c r="A67" s="11" t="n">
        <x:v>630</x:v>
      </x:c>
      <x:c r="B67" s="16" t="n">
        <x:f>'Pricing Strategy'!$B$8</x:f>
        <x:v>2699</x:v>
      </x:c>
      <x:c r="C67" s="16" t="n">
        <x:f>A67*B67</x:f>
        <x:v>1700370</x:v>
      </x:c>
      <x:c r="D67" s="16" t="n">
        <x:f>IF(A67&lt;=10,'Cost Assumptions'!B4+'Cost Assumptions'!B5,IF(A67&lt;=50,'Cost Assumptions'!C4+'Cost Assumptions'!C5,IF(A67&lt;=100,'Cost Assumptions'!D4+'Cost Assumptions'!D5,'Cost Assumptions'!E4+'Cost Assumptions'!E5)))</x:f>
        <x:v>35000</x:v>
      </x:c>
      <x:c r="E67" s="16" t="n">
        <x:f>A67*IF(A67&lt;=10,'Cost Assumptions'!B6,IF(A67&lt;=50,'Cost Assumptions'!C6,IF(A67&lt;=100,'Cost Assumptions'!D6,'Cost Assumptions'!E6)))</x:f>
        <x:v>157500</x:v>
      </x:c>
      <x:c r="F67" s="16" t="n">
        <x:f>A67*(IF(A67&lt;=10,'Cost Assumptions'!B7+'Cost Assumptions'!B8,IF(A67&lt;=50,'Cost Assumptions'!C7+'Cost Assumptions'!C8,IF(A67&lt;=100,'Cost Assumptions'!D7+'Cost Assumptions'!D8,'Cost Assumptions'!E7+'Cost Assumptions'!E8))))</x:f>
        <x:v>151200</x:v>
      </x:c>
      <x:c r="G67" s="16" t="n">
        <x:f>IF(A67&lt;=10,'Cost Assumptions'!B9,IF(A67&lt;=50,'Cost Assumptions'!C9,IF(A67&lt;=100,MAX('Cost Assumptions'!D9,C67*'Cost Assumptions'!D10),C67*'Cost Assumptions'!E10)))</x:f>
        <x:v>204044.4</x:v>
      </x:c>
      <x:c r="H67" s="16" t="n">
        <x:f>C67*IF(A67&lt;=10,'Cost Assumptions'!B11,IF(A67&lt;=50,'Cost Assumptions'!C11,IF(A67&lt;=100,'Cost Assumptions'!D11,'Cost Assumptions'!E11)))</x:f>
        <x:v>40128.731999999996</x:v>
      </x:c>
      <x:c r="I67" s="16" t="n">
        <x:f>SUM(D67:H67)</x:f>
        <x:v>587873.132</x:v>
      </x:c>
      <x:c r="J67" s="16" t="n">
        <x:f>C67-I67</x:f>
        <x:v>1112496.868</x:v>
      </x:c>
      <x:c r="K67" s="20" t="n">
        <x:f>J67/C67</x:f>
        <x:v>0.6542675229508872</x:v>
      </x:c>
      <x:c r="L67" s="11"/>
      <x:c r="M67" s="11"/>
      <x:c r="N67" s="11"/>
      <x:c r="O67" s="11"/>
      <x:c r="P67" s="11"/>
    </x:row>
    <x:row r="68">
      <x:c r="A68" s="11" t="n">
        <x:v>640</x:v>
      </x:c>
      <x:c r="B68" s="16" t="n">
        <x:f>'Pricing Strategy'!$B$8</x:f>
        <x:v>2699</x:v>
      </x:c>
      <x:c r="C68" s="16" t="n">
        <x:f>A68*B68</x:f>
        <x:v>1727360</x:v>
      </x:c>
      <x:c r="D68" s="16" t="n">
        <x:f>IF(A68&lt;=10,'Cost Assumptions'!B4+'Cost Assumptions'!B5,IF(A68&lt;=50,'Cost Assumptions'!C4+'Cost Assumptions'!C5,IF(A68&lt;=100,'Cost Assumptions'!D4+'Cost Assumptions'!D5,'Cost Assumptions'!E4+'Cost Assumptions'!E5)))</x:f>
        <x:v>35000</x:v>
      </x:c>
      <x:c r="E68" s="16" t="n">
        <x:f>A68*IF(A68&lt;=10,'Cost Assumptions'!B6,IF(A68&lt;=50,'Cost Assumptions'!C6,IF(A68&lt;=100,'Cost Assumptions'!D6,'Cost Assumptions'!E6)))</x:f>
        <x:v>160000</x:v>
      </x:c>
      <x:c r="F68" s="16" t="n">
        <x:f>A68*(IF(A68&lt;=10,'Cost Assumptions'!B7+'Cost Assumptions'!B8,IF(A68&lt;=50,'Cost Assumptions'!C7+'Cost Assumptions'!C8,IF(A68&lt;=100,'Cost Assumptions'!D7+'Cost Assumptions'!D8,'Cost Assumptions'!E7+'Cost Assumptions'!E8))))</x:f>
        <x:v>153600</x:v>
      </x:c>
      <x:c r="G68" s="16" t="n">
        <x:f>IF(A68&lt;=10,'Cost Assumptions'!B9,IF(A68&lt;=50,'Cost Assumptions'!C9,IF(A68&lt;=100,MAX('Cost Assumptions'!D9,C68*'Cost Assumptions'!D10),C68*'Cost Assumptions'!E10)))</x:f>
        <x:v>207283.19999999998</x:v>
      </x:c>
      <x:c r="H68" s="16" t="n">
        <x:f>C68*IF(A68&lt;=10,'Cost Assumptions'!B11,IF(A68&lt;=50,'Cost Assumptions'!C11,IF(A68&lt;=100,'Cost Assumptions'!D11,'Cost Assumptions'!E11)))</x:f>
        <x:v>40765.695999999996</x:v>
      </x:c>
      <x:c r="I68" s="16" t="n">
        <x:f>SUM(D68:H68)</x:f>
        <x:v>596648.896</x:v>
      </x:c>
      <x:c r="J68" s="16" t="n">
        <x:f>C68-I68</x:f>
        <x:v>1130711.104</x:v>
      </x:c>
      <x:c r="K68" s="20" t="n">
        <x:f>J68/C68</x:f>
        <x:v>0.6545891441274546</x:v>
      </x:c>
      <x:c r="L68" s="11"/>
      <x:c r="M68" s="11"/>
      <x:c r="N68" s="11"/>
      <x:c r="O68" s="11"/>
      <x:c r="P68" s="11"/>
    </x:row>
    <x:row r="69">
      <x:c r="A69" s="11" t="n">
        <x:v>650</x:v>
      </x:c>
      <x:c r="B69" s="16" t="n">
        <x:f>'Pricing Strategy'!$B$8</x:f>
        <x:v>2699</x:v>
      </x:c>
      <x:c r="C69" s="16" t="n">
        <x:f>A69*B69</x:f>
        <x:v>1754350</x:v>
      </x:c>
      <x:c r="D69" s="16" t="n">
        <x:f>IF(A69&lt;=10,'Cost Assumptions'!B4+'Cost Assumptions'!B5,IF(A69&lt;=50,'Cost Assumptions'!C4+'Cost Assumptions'!C5,IF(A69&lt;=100,'Cost Assumptions'!D4+'Cost Assumptions'!D5,'Cost Assumptions'!E4+'Cost Assumptions'!E5)))</x:f>
        <x:v>35000</x:v>
      </x:c>
      <x:c r="E69" s="16" t="n">
        <x:f>A69*IF(A69&lt;=10,'Cost Assumptions'!B6,IF(A69&lt;=50,'Cost Assumptions'!C6,IF(A69&lt;=100,'Cost Assumptions'!D6,'Cost Assumptions'!E6)))</x:f>
        <x:v>162500</x:v>
      </x:c>
      <x:c r="F69" s="16" t="n">
        <x:f>A69*(IF(A69&lt;=10,'Cost Assumptions'!B7+'Cost Assumptions'!B8,IF(A69&lt;=50,'Cost Assumptions'!C7+'Cost Assumptions'!C8,IF(A69&lt;=100,'Cost Assumptions'!D7+'Cost Assumptions'!D8,'Cost Assumptions'!E7+'Cost Assumptions'!E8))))</x:f>
        <x:v>156000</x:v>
      </x:c>
      <x:c r="G69" s="16" t="n">
        <x:f>IF(A69&lt;=10,'Cost Assumptions'!B9,IF(A69&lt;=50,'Cost Assumptions'!C9,IF(A69&lt;=100,MAX('Cost Assumptions'!D9,C69*'Cost Assumptions'!D10),C69*'Cost Assumptions'!E10)))</x:f>
        <x:v>210522</x:v>
      </x:c>
      <x:c r="H69" s="16" t="n">
        <x:f>C69*IF(A69&lt;=10,'Cost Assumptions'!B11,IF(A69&lt;=50,'Cost Assumptions'!C11,IF(A69&lt;=100,'Cost Assumptions'!D11,'Cost Assumptions'!E11)))</x:f>
        <x:v>41402.659999999996</x:v>
      </x:c>
      <x:c r="I69" s="16" t="n">
        <x:f>SUM(D69:H69)</x:f>
        <x:v>605424.66</x:v>
      </x:c>
      <x:c r="J69" s="16" t="n">
        <x:f>C69-I69</x:f>
        <x:v>1148925.3399999999</x:v>
      </x:c>
      <x:c r="K69" s="20" t="n">
        <x:f>J69/C69</x:f>
        <x:v>0.6549008692678199</x:v>
      </x:c>
      <x:c r="L69" s="11"/>
      <x:c r="M69" s="11"/>
      <x:c r="N69" s="11"/>
      <x:c r="O69" s="11"/>
      <x:c r="P69" s="11"/>
    </x:row>
    <x:row r="70">
      <x:c r="A70" s="11" t="n">
        <x:v>660</x:v>
      </x:c>
      <x:c r="B70" s="16" t="n">
        <x:f>'Pricing Strategy'!$B$8</x:f>
        <x:v>2699</x:v>
      </x:c>
      <x:c r="C70" s="16" t="n">
        <x:f>A70*B70</x:f>
        <x:v>1781340</x:v>
      </x:c>
      <x:c r="D70" s="16" t="n">
        <x:f>IF(A70&lt;=10,'Cost Assumptions'!B4+'Cost Assumptions'!B5,IF(A70&lt;=50,'Cost Assumptions'!C4+'Cost Assumptions'!C5,IF(A70&lt;=100,'Cost Assumptions'!D4+'Cost Assumptions'!D5,'Cost Assumptions'!E4+'Cost Assumptions'!E5)))</x:f>
        <x:v>35000</x:v>
      </x:c>
      <x:c r="E70" s="16" t="n">
        <x:f>A70*IF(A70&lt;=10,'Cost Assumptions'!B6,IF(A70&lt;=50,'Cost Assumptions'!C6,IF(A70&lt;=100,'Cost Assumptions'!D6,'Cost Assumptions'!E6)))</x:f>
        <x:v>165000</x:v>
      </x:c>
      <x:c r="F70" s="16" t="n">
        <x:f>A70*(IF(A70&lt;=10,'Cost Assumptions'!B7+'Cost Assumptions'!B8,IF(A70&lt;=50,'Cost Assumptions'!C7+'Cost Assumptions'!C8,IF(A70&lt;=100,'Cost Assumptions'!D7+'Cost Assumptions'!D8,'Cost Assumptions'!E7+'Cost Assumptions'!E8))))</x:f>
        <x:v>158400</x:v>
      </x:c>
      <x:c r="G70" s="16" t="n">
        <x:f>IF(A70&lt;=10,'Cost Assumptions'!B9,IF(A70&lt;=50,'Cost Assumptions'!C9,IF(A70&lt;=100,MAX('Cost Assumptions'!D9,C70*'Cost Assumptions'!D10),C70*'Cost Assumptions'!E10)))</x:f>
        <x:v>213760.8</x:v>
      </x:c>
      <x:c r="H70" s="16" t="n">
        <x:f>C70*IF(A70&lt;=10,'Cost Assumptions'!B11,IF(A70&lt;=50,'Cost Assumptions'!C11,IF(A70&lt;=100,'Cost Assumptions'!D11,'Cost Assumptions'!E11)))</x:f>
        <x:v>42039.623999999996</x:v>
      </x:c>
      <x:c r="I70" s="16" t="n">
        <x:f>SUM(D70:H70)</x:f>
        <x:v>614200.424</x:v>
      </x:c>
      <x:c r="J70" s="16" t="n">
        <x:f>C70-I70</x:f>
        <x:v>1167139.576</x:v>
      </x:c>
      <x:c r="K70" s="20" t="n">
        <x:f>J70/C70</x:f>
        <x:v>0.6552031481918106</x:v>
      </x:c>
      <x:c r="L70" s="11"/>
      <x:c r="M70" s="11"/>
      <x:c r="N70" s="11"/>
      <x:c r="O70" s="11"/>
      <x:c r="P70" s="11"/>
    </x:row>
    <x:row r="71">
      <x:c r="A71" s="11" t="n">
        <x:v>670</x:v>
      </x:c>
      <x:c r="B71" s="16" t="n">
        <x:f>'Pricing Strategy'!$B$8</x:f>
        <x:v>2699</x:v>
      </x:c>
      <x:c r="C71" s="16" t="n">
        <x:f>A71*B71</x:f>
        <x:v>1808330</x:v>
      </x:c>
      <x:c r="D71" s="16" t="n">
        <x:f>IF(A71&lt;=10,'Cost Assumptions'!B4+'Cost Assumptions'!B5,IF(A71&lt;=50,'Cost Assumptions'!C4+'Cost Assumptions'!C5,IF(A71&lt;=100,'Cost Assumptions'!D4+'Cost Assumptions'!D5,'Cost Assumptions'!E4+'Cost Assumptions'!E5)))</x:f>
        <x:v>35000</x:v>
      </x:c>
      <x:c r="E71" s="16" t="n">
        <x:f>A71*IF(A71&lt;=10,'Cost Assumptions'!B6,IF(A71&lt;=50,'Cost Assumptions'!C6,IF(A71&lt;=100,'Cost Assumptions'!D6,'Cost Assumptions'!E6)))</x:f>
        <x:v>167500</x:v>
      </x:c>
      <x:c r="F71" s="16" t="n">
        <x:f>A71*(IF(A71&lt;=10,'Cost Assumptions'!B7+'Cost Assumptions'!B8,IF(A71&lt;=50,'Cost Assumptions'!C7+'Cost Assumptions'!C8,IF(A71&lt;=100,'Cost Assumptions'!D7+'Cost Assumptions'!D8,'Cost Assumptions'!E7+'Cost Assumptions'!E8))))</x:f>
        <x:v>160800</x:v>
      </x:c>
      <x:c r="G71" s="16" t="n">
        <x:f>IF(A71&lt;=10,'Cost Assumptions'!B9,IF(A71&lt;=50,'Cost Assumptions'!C9,IF(A71&lt;=100,MAX('Cost Assumptions'!D9,C71*'Cost Assumptions'!D10),C71*'Cost Assumptions'!E10)))</x:f>
        <x:v>216999.6</x:v>
      </x:c>
      <x:c r="H71" s="16" t="n">
        <x:f>C71*IF(A71&lt;=10,'Cost Assumptions'!B11,IF(A71&lt;=50,'Cost Assumptions'!C11,IF(A71&lt;=100,'Cost Assumptions'!D11,'Cost Assumptions'!E11)))</x:f>
        <x:v>42676.587999999996</x:v>
      </x:c>
      <x:c r="I71" s="16" t="n">
        <x:f>SUM(D71:H71)</x:f>
        <x:v>622976.188</x:v>
      </x:c>
      <x:c r="J71" s="16" t="n">
        <x:f>C71-I71</x:f>
        <x:v>1185353.812</x:v>
      </x:c>
      <x:c r="K71" s="20" t="n">
        <x:f>J71/C71</x:f>
        <x:v>0.6554964038643388</x:v>
      </x:c>
      <x:c r="L71" s="11"/>
      <x:c r="M71" s="11"/>
      <x:c r="N71" s="11"/>
      <x:c r="O71" s="11"/>
      <x:c r="P71" s="11"/>
    </x:row>
    <x:row r="72">
      <x:c r="A72" s="11" t="n">
        <x:v>680</x:v>
      </x:c>
      <x:c r="B72" s="16" t="n">
        <x:f>'Pricing Strategy'!$B$8</x:f>
        <x:v>2699</x:v>
      </x:c>
      <x:c r="C72" s="16" t="n">
        <x:f>A72*B72</x:f>
        <x:v>1835320</x:v>
      </x:c>
      <x:c r="D72" s="16" t="n">
        <x:f>IF(A72&lt;=10,'Cost Assumptions'!B4+'Cost Assumptions'!B5,IF(A72&lt;=50,'Cost Assumptions'!C4+'Cost Assumptions'!C5,IF(A72&lt;=100,'Cost Assumptions'!D4+'Cost Assumptions'!D5,'Cost Assumptions'!E4+'Cost Assumptions'!E5)))</x:f>
        <x:v>35000</x:v>
      </x:c>
      <x:c r="E72" s="16" t="n">
        <x:f>A72*IF(A72&lt;=10,'Cost Assumptions'!B6,IF(A72&lt;=50,'Cost Assumptions'!C6,IF(A72&lt;=100,'Cost Assumptions'!D6,'Cost Assumptions'!E6)))</x:f>
        <x:v>170000</x:v>
      </x:c>
      <x:c r="F72" s="16" t="n">
        <x:f>A72*(IF(A72&lt;=10,'Cost Assumptions'!B7+'Cost Assumptions'!B8,IF(A72&lt;=50,'Cost Assumptions'!C7+'Cost Assumptions'!C8,IF(A72&lt;=100,'Cost Assumptions'!D7+'Cost Assumptions'!D8,'Cost Assumptions'!E7+'Cost Assumptions'!E8))))</x:f>
        <x:v>163200</x:v>
      </x:c>
      <x:c r="G72" s="16" t="n">
        <x:f>IF(A72&lt;=10,'Cost Assumptions'!B9,IF(A72&lt;=50,'Cost Assumptions'!C9,IF(A72&lt;=100,MAX('Cost Assumptions'!D9,C72*'Cost Assumptions'!D10),C72*'Cost Assumptions'!E10)))</x:f>
        <x:v>220238.4</x:v>
      </x:c>
      <x:c r="H72" s="16" t="n">
        <x:f>C72*IF(A72&lt;=10,'Cost Assumptions'!B11,IF(A72&lt;=50,'Cost Assumptions'!C11,IF(A72&lt;=100,'Cost Assumptions'!D11,'Cost Assumptions'!E11)))</x:f>
        <x:v>43313.551999999996</x:v>
      </x:c>
      <x:c r="I72" s="16" t="n">
        <x:f>SUM(D72:H72)</x:f>
        <x:v>631751.952</x:v>
      </x:c>
      <x:c r="J72" s="16" t="n">
        <x:f>C72-I72</x:f>
        <x:v>1203568.048</x:v>
      </x:c>
      <x:c r="K72" s="20" t="n">
        <x:f>J72/C72</x:f>
        <x:v>0.6557810343700281</x:v>
      </x:c>
      <x:c r="L72" s="11"/>
      <x:c r="M72" s="11"/>
      <x:c r="N72" s="11"/>
      <x:c r="O72" s="11"/>
      <x:c r="P72" s="11"/>
    </x:row>
    <x:row r="73">
      <x:c r="A73" s="11" t="n">
        <x:v>690</x:v>
      </x:c>
      <x:c r="B73" s="16" t="n">
        <x:f>'Pricing Strategy'!$B$8</x:f>
        <x:v>2699</x:v>
      </x:c>
      <x:c r="C73" s="16" t="n">
        <x:f>A73*B73</x:f>
        <x:v>1862310</x:v>
      </x:c>
      <x:c r="D73" s="16" t="n">
        <x:f>IF(A73&lt;=10,'Cost Assumptions'!B4+'Cost Assumptions'!B5,IF(A73&lt;=50,'Cost Assumptions'!C4+'Cost Assumptions'!C5,IF(A73&lt;=100,'Cost Assumptions'!D4+'Cost Assumptions'!D5,'Cost Assumptions'!E4+'Cost Assumptions'!E5)))</x:f>
        <x:v>35000</x:v>
      </x:c>
      <x:c r="E73" s="16" t="n">
        <x:f>A73*IF(A73&lt;=10,'Cost Assumptions'!B6,IF(A73&lt;=50,'Cost Assumptions'!C6,IF(A73&lt;=100,'Cost Assumptions'!D6,'Cost Assumptions'!E6)))</x:f>
        <x:v>172500</x:v>
      </x:c>
      <x:c r="F73" s="16" t="n">
        <x:f>A73*(IF(A73&lt;=10,'Cost Assumptions'!B7+'Cost Assumptions'!B8,IF(A73&lt;=50,'Cost Assumptions'!C7+'Cost Assumptions'!C8,IF(A73&lt;=100,'Cost Assumptions'!D7+'Cost Assumptions'!D8,'Cost Assumptions'!E7+'Cost Assumptions'!E8))))</x:f>
        <x:v>165600</x:v>
      </x:c>
      <x:c r="G73" s="16" t="n">
        <x:f>IF(A73&lt;=10,'Cost Assumptions'!B9,IF(A73&lt;=50,'Cost Assumptions'!C9,IF(A73&lt;=100,MAX('Cost Assumptions'!D9,C73*'Cost Assumptions'!D10),C73*'Cost Assumptions'!E10)))</x:f>
        <x:v>223477.19999999998</x:v>
      </x:c>
      <x:c r="H73" s="16" t="n">
        <x:f>C73*IF(A73&lt;=10,'Cost Assumptions'!B11,IF(A73&lt;=50,'Cost Assumptions'!C11,IF(A73&lt;=100,'Cost Assumptions'!D11,'Cost Assumptions'!E11)))</x:f>
        <x:v>43950.515999999996</x:v>
      </x:c>
      <x:c r="I73" s="16" t="n">
        <x:f>SUM(D73:H73)</x:f>
        <x:v>640527.7159999999</x:v>
      </x:c>
      <x:c r="J73" s="16" t="n">
        <x:f>C73-I73</x:f>
        <x:v>1221782.284</x:v>
      </x:c>
      <x:c r="K73" s="20" t="n">
        <x:f>J73/C73</x:f>
        <x:v>0.6560574147161321</x:v>
      </x:c>
      <x:c r="L73" s="11"/>
      <x:c r="M73" s="11"/>
      <x:c r="N73" s="11"/>
      <x:c r="O73" s="11"/>
      <x:c r="P73" s="11"/>
    </x:row>
    <x:row r="74">
      <x:c r="A74" s="11" t="n">
        <x:v>700</x:v>
      </x:c>
      <x:c r="B74" s="16" t="n">
        <x:f>'Pricing Strategy'!$B$8</x:f>
        <x:v>2699</x:v>
      </x:c>
      <x:c r="C74" s="16" t="n">
        <x:f>A74*B74</x:f>
        <x:v>1889300</x:v>
      </x:c>
      <x:c r="D74" s="16" t="n">
        <x:f>IF(A74&lt;=10,'Cost Assumptions'!B4+'Cost Assumptions'!B5,IF(A74&lt;=50,'Cost Assumptions'!C4+'Cost Assumptions'!C5,IF(A74&lt;=100,'Cost Assumptions'!D4+'Cost Assumptions'!D5,'Cost Assumptions'!E4+'Cost Assumptions'!E5)))</x:f>
        <x:v>35000</x:v>
      </x:c>
      <x:c r="E74" s="16" t="n">
        <x:f>A74*IF(A74&lt;=10,'Cost Assumptions'!B6,IF(A74&lt;=50,'Cost Assumptions'!C6,IF(A74&lt;=100,'Cost Assumptions'!D6,'Cost Assumptions'!E6)))</x:f>
        <x:v>175000</x:v>
      </x:c>
      <x:c r="F74" s="16" t="n">
        <x:f>A74*(IF(A74&lt;=10,'Cost Assumptions'!B7+'Cost Assumptions'!B8,IF(A74&lt;=50,'Cost Assumptions'!C7+'Cost Assumptions'!C8,IF(A74&lt;=100,'Cost Assumptions'!D7+'Cost Assumptions'!D8,'Cost Assumptions'!E7+'Cost Assumptions'!E8))))</x:f>
        <x:v>168000</x:v>
      </x:c>
      <x:c r="G74" s="16" t="n">
        <x:f>IF(A74&lt;=10,'Cost Assumptions'!B9,IF(A74&lt;=50,'Cost Assumptions'!C9,IF(A74&lt;=100,MAX('Cost Assumptions'!D9,C74*'Cost Assumptions'!D10),C74*'Cost Assumptions'!E10)))</x:f>
        <x:v>226716</x:v>
      </x:c>
      <x:c r="H74" s="16" t="n">
        <x:f>C74*IF(A74&lt;=10,'Cost Assumptions'!B11,IF(A74&lt;=50,'Cost Assumptions'!C11,IF(A74&lt;=100,'Cost Assumptions'!D11,'Cost Assumptions'!E11)))</x:f>
        <x:v>44587.479999999996</x:v>
      </x:c>
      <x:c r="I74" s="16" t="n">
        <x:f>SUM(D74:H74)</x:f>
        <x:v>649303.48</x:v>
      </x:c>
      <x:c r="J74" s="16" t="n">
        <x:f>C74-I74</x:f>
        <x:v>1239996.52</x:v>
      </x:c>
      <x:c r="K74" s="20" t="n">
        <x:f>J74/C74</x:f>
        <x:v>0.6563258984809188</x:v>
      </x:c>
      <x:c r="L74" s="11"/>
      <x:c r="M74" s="11"/>
      <x:c r="N74" s="11"/>
      <x:c r="O74" s="11"/>
      <x:c r="P74" s="11"/>
    </x:row>
    <x:row r="75">
      <x:c r="A75" s="11" t="n">
        <x:v>710</x:v>
      </x:c>
      <x:c r="B75" s="16" t="n">
        <x:f>'Pricing Strategy'!$B$8</x:f>
        <x:v>2699</x:v>
      </x:c>
      <x:c r="C75" s="16" t="n">
        <x:f>A75*B75</x:f>
        <x:v>1916290</x:v>
      </x:c>
      <x:c r="D75" s="16" t="n">
        <x:f>IF(A75&lt;=10,'Cost Assumptions'!B4+'Cost Assumptions'!B5,IF(A75&lt;=50,'Cost Assumptions'!C4+'Cost Assumptions'!C5,IF(A75&lt;=100,'Cost Assumptions'!D4+'Cost Assumptions'!D5,'Cost Assumptions'!E4+'Cost Assumptions'!E5)))</x:f>
        <x:v>35000</x:v>
      </x:c>
      <x:c r="E75" s="16" t="n">
        <x:f>A75*IF(A75&lt;=10,'Cost Assumptions'!B6,IF(A75&lt;=50,'Cost Assumptions'!C6,IF(A75&lt;=100,'Cost Assumptions'!D6,'Cost Assumptions'!E6)))</x:f>
        <x:v>177500</x:v>
      </x:c>
      <x:c r="F75" s="16" t="n">
        <x:f>A75*(IF(A75&lt;=10,'Cost Assumptions'!B7+'Cost Assumptions'!B8,IF(A75&lt;=50,'Cost Assumptions'!C7+'Cost Assumptions'!C8,IF(A75&lt;=100,'Cost Assumptions'!D7+'Cost Assumptions'!D8,'Cost Assumptions'!E7+'Cost Assumptions'!E8))))</x:f>
        <x:v>170400</x:v>
      </x:c>
      <x:c r="G75" s="16" t="n">
        <x:f>IF(A75&lt;=10,'Cost Assumptions'!B9,IF(A75&lt;=50,'Cost Assumptions'!C9,IF(A75&lt;=100,MAX('Cost Assumptions'!D9,C75*'Cost Assumptions'!D10),C75*'Cost Assumptions'!E10)))</x:f>
        <x:v>229954.8</x:v>
      </x:c>
      <x:c r="H75" s="16" t="n">
        <x:f>C75*IF(A75&lt;=10,'Cost Assumptions'!B11,IF(A75&lt;=50,'Cost Assumptions'!C11,IF(A75&lt;=100,'Cost Assumptions'!D11,'Cost Assumptions'!E11)))</x:f>
        <x:v>45224.443999999996</x:v>
      </x:c>
      <x:c r="I75" s="16" t="n">
        <x:f>SUM(D75:H75)</x:f>
        <x:v>658079.2440000001</x:v>
      </x:c>
      <x:c r="J75" s="16" t="n">
        <x:f>C75-I75</x:f>
        <x:v>1258210.756</x:v>
      </x:c>
      <x:c r="K75" s="20" t="n">
        <x:f>J75/C75</x:f>
        <x:v>0.6565868193227539</x:v>
      </x:c>
      <x:c r="L75" s="11"/>
      <x:c r="M75" s="11"/>
      <x:c r="N75" s="11"/>
      <x:c r="O75" s="11"/>
      <x:c r="P75" s="11"/>
    </x:row>
    <x:row r="76">
      <x:c r="A76" s="11" t="n">
        <x:v>720</x:v>
      </x:c>
      <x:c r="B76" s="16" t="n">
        <x:f>'Pricing Strategy'!$B$8</x:f>
        <x:v>2699</x:v>
      </x:c>
      <x:c r="C76" s="16" t="n">
        <x:f>A76*B76</x:f>
        <x:v>1943280</x:v>
      </x:c>
      <x:c r="D76" s="16" t="n">
        <x:f>IF(A76&lt;=10,'Cost Assumptions'!B4+'Cost Assumptions'!B5,IF(A76&lt;=50,'Cost Assumptions'!C4+'Cost Assumptions'!C5,IF(A76&lt;=100,'Cost Assumptions'!D4+'Cost Assumptions'!D5,'Cost Assumptions'!E4+'Cost Assumptions'!E5)))</x:f>
        <x:v>35000</x:v>
      </x:c>
      <x:c r="E76" s="16" t="n">
        <x:f>A76*IF(A76&lt;=10,'Cost Assumptions'!B6,IF(A76&lt;=50,'Cost Assumptions'!C6,IF(A76&lt;=100,'Cost Assumptions'!D6,'Cost Assumptions'!E6)))</x:f>
        <x:v>180000</x:v>
      </x:c>
      <x:c r="F76" s="16" t="n">
        <x:f>A76*(IF(A76&lt;=10,'Cost Assumptions'!B7+'Cost Assumptions'!B8,IF(A76&lt;=50,'Cost Assumptions'!C7+'Cost Assumptions'!C8,IF(A76&lt;=100,'Cost Assumptions'!D7+'Cost Assumptions'!D8,'Cost Assumptions'!E7+'Cost Assumptions'!E8))))</x:f>
        <x:v>172800</x:v>
      </x:c>
      <x:c r="G76" s="16" t="n">
        <x:f>IF(A76&lt;=10,'Cost Assumptions'!B9,IF(A76&lt;=50,'Cost Assumptions'!C9,IF(A76&lt;=100,MAX('Cost Assumptions'!D9,C76*'Cost Assumptions'!D10),C76*'Cost Assumptions'!E10)))</x:f>
        <x:v>233193.6</x:v>
      </x:c>
      <x:c r="H76" s="16" t="n">
        <x:f>C76*IF(A76&lt;=10,'Cost Assumptions'!B11,IF(A76&lt;=50,'Cost Assumptions'!C11,IF(A76&lt;=100,'Cost Assumptions'!D11,'Cost Assumptions'!E11)))</x:f>
        <x:v>45861.407999999996</x:v>
      </x:c>
      <x:c r="I76" s="16" t="n">
        <x:f>SUM(D76:H76)</x:f>
        <x:v>666855.0079999999</x:v>
      </x:c>
      <x:c r="J76" s="16" t="n">
        <x:f>C76-I76</x:f>
        <x:v>1276424.992</x:v>
      </x:c>
      <x:c r="K76" s="20" t="n">
        <x:f>J76/C76</x:f>
        <x:v>0.6568404923634268</x:v>
      </x:c>
      <x:c r="L76" s="11"/>
      <x:c r="M76" s="11"/>
      <x:c r="N76" s="11"/>
      <x:c r="O76" s="11"/>
      <x:c r="P76" s="11"/>
    </x:row>
    <x:row r="77">
      <x:c r="A77" s="11" t="n">
        <x:v>730</x:v>
      </x:c>
      <x:c r="B77" s="16" t="n">
        <x:f>'Pricing Strategy'!$B$8</x:f>
        <x:v>2699</x:v>
      </x:c>
      <x:c r="C77" s="16" t="n">
        <x:f>A77*B77</x:f>
        <x:v>1970270</x:v>
      </x:c>
      <x:c r="D77" s="16" t="n">
        <x:f>IF(A77&lt;=10,'Cost Assumptions'!B4+'Cost Assumptions'!B5,IF(A77&lt;=50,'Cost Assumptions'!C4+'Cost Assumptions'!C5,IF(A77&lt;=100,'Cost Assumptions'!D4+'Cost Assumptions'!D5,'Cost Assumptions'!E4+'Cost Assumptions'!E5)))</x:f>
        <x:v>35000</x:v>
      </x:c>
      <x:c r="E77" s="16" t="n">
        <x:f>A77*IF(A77&lt;=10,'Cost Assumptions'!B6,IF(A77&lt;=50,'Cost Assumptions'!C6,IF(A77&lt;=100,'Cost Assumptions'!D6,'Cost Assumptions'!E6)))</x:f>
        <x:v>182500</x:v>
      </x:c>
      <x:c r="F77" s="16" t="n">
        <x:f>A77*(IF(A77&lt;=10,'Cost Assumptions'!B7+'Cost Assumptions'!B8,IF(A77&lt;=50,'Cost Assumptions'!C7+'Cost Assumptions'!C8,IF(A77&lt;=100,'Cost Assumptions'!D7+'Cost Assumptions'!D8,'Cost Assumptions'!E7+'Cost Assumptions'!E8))))</x:f>
        <x:v>175200</x:v>
      </x:c>
      <x:c r="G77" s="16" t="n">
        <x:f>IF(A77&lt;=10,'Cost Assumptions'!B9,IF(A77&lt;=50,'Cost Assumptions'!C9,IF(A77&lt;=100,MAX('Cost Assumptions'!D9,C77*'Cost Assumptions'!D10),C77*'Cost Assumptions'!E10)))</x:f>
        <x:v>236432.4</x:v>
      </x:c>
      <x:c r="H77" s="16" t="n">
        <x:f>C77*IF(A77&lt;=10,'Cost Assumptions'!B11,IF(A77&lt;=50,'Cost Assumptions'!C11,IF(A77&lt;=100,'Cost Assumptions'!D11,'Cost Assumptions'!E11)))</x:f>
        <x:v>46498.371999999996</x:v>
      </x:c>
      <x:c r="I77" s="16" t="n">
        <x:f>SUM(D77:H77)</x:f>
        <x:v>675630.772</x:v>
      </x:c>
      <x:c r="J77" s="16" t="n">
        <x:f>C77-I77</x:f>
        <x:v>1294639.2280000001</x:v>
      </x:c>
      <x:c r="K77" s="20" t="n">
        <x:f>J77/C77</x:f>
        <x:v>0.6570872154577799</x:v>
      </x:c>
      <x:c r="L77" s="11"/>
      <x:c r="M77" s="11"/>
      <x:c r="N77" s="11"/>
      <x:c r="O77" s="11"/>
      <x:c r="P77" s="11"/>
    </x:row>
    <x:row r="78">
      <x:c r="A78" s="11" t="n">
        <x:v>740</x:v>
      </x:c>
      <x:c r="B78" s="16" t="n">
        <x:f>'Pricing Strategy'!$B$8</x:f>
        <x:v>2699</x:v>
      </x:c>
      <x:c r="C78" s="16" t="n">
        <x:f>A78*B78</x:f>
        <x:v>1997260</x:v>
      </x:c>
      <x:c r="D78" s="16" t="n">
        <x:f>IF(A78&lt;=10,'Cost Assumptions'!B4+'Cost Assumptions'!B5,IF(A78&lt;=50,'Cost Assumptions'!C4+'Cost Assumptions'!C5,IF(A78&lt;=100,'Cost Assumptions'!D4+'Cost Assumptions'!D5,'Cost Assumptions'!E4+'Cost Assumptions'!E5)))</x:f>
        <x:v>35000</x:v>
      </x:c>
      <x:c r="E78" s="16" t="n">
        <x:f>A78*IF(A78&lt;=10,'Cost Assumptions'!B6,IF(A78&lt;=50,'Cost Assumptions'!C6,IF(A78&lt;=100,'Cost Assumptions'!D6,'Cost Assumptions'!E6)))</x:f>
        <x:v>185000</x:v>
      </x:c>
      <x:c r="F78" s="16" t="n">
        <x:f>A78*(IF(A78&lt;=10,'Cost Assumptions'!B7+'Cost Assumptions'!B8,IF(A78&lt;=50,'Cost Assumptions'!C7+'Cost Assumptions'!C8,IF(A78&lt;=100,'Cost Assumptions'!D7+'Cost Assumptions'!D8,'Cost Assumptions'!E7+'Cost Assumptions'!E8))))</x:f>
        <x:v>177600</x:v>
      </x:c>
      <x:c r="G78" s="16" t="n">
        <x:f>IF(A78&lt;=10,'Cost Assumptions'!B9,IF(A78&lt;=50,'Cost Assumptions'!C9,IF(A78&lt;=100,MAX('Cost Assumptions'!D9,C78*'Cost Assumptions'!D10),C78*'Cost Assumptions'!E10)))</x:f>
        <x:v>239671.19999999998</x:v>
      </x:c>
      <x:c r="H78" s="16" t="n">
        <x:f>C78*IF(A78&lt;=10,'Cost Assumptions'!B11,IF(A78&lt;=50,'Cost Assumptions'!C11,IF(A78&lt;=100,'Cost Assumptions'!D11,'Cost Assumptions'!E11)))</x:f>
        <x:v>47135.335999999996</x:v>
      </x:c>
      <x:c r="I78" s="16" t="n">
        <x:f>SUM(D78:H78)</x:f>
        <x:v>684406.536</x:v>
      </x:c>
      <x:c r="J78" s="16" t="n">
        <x:f>C78-I78</x:f>
        <x:v>1312853.4640000002</x:v>
      </x:c>
      <x:c r="K78" s="20" t="n">
        <x:f>J78/C78</x:f>
        <x:v>0.6573272703603938</x:v>
      </x:c>
      <x:c r="L78" s="11"/>
      <x:c r="M78" s="11"/>
      <x:c r="N78" s="11"/>
      <x:c r="O78" s="11"/>
      <x:c r="P78" s="11"/>
    </x:row>
    <x:row r="79">
      <x:c r="A79" s="11" t="n">
        <x:v>750</x:v>
      </x:c>
      <x:c r="B79" s="16" t="n">
        <x:f>'Pricing Strategy'!$B$8</x:f>
        <x:v>2699</x:v>
      </x:c>
      <x:c r="C79" s="16" t="n">
        <x:f>A79*B79</x:f>
        <x:v>2024250</x:v>
      </x:c>
      <x:c r="D79" s="16" t="n">
        <x:f>IF(A79&lt;=10,'Cost Assumptions'!B4+'Cost Assumptions'!B5,IF(A79&lt;=50,'Cost Assumptions'!C4+'Cost Assumptions'!C5,IF(A79&lt;=100,'Cost Assumptions'!D4+'Cost Assumptions'!D5,'Cost Assumptions'!E4+'Cost Assumptions'!E5)))</x:f>
        <x:v>35000</x:v>
      </x:c>
      <x:c r="E79" s="16" t="n">
        <x:f>A79*IF(A79&lt;=10,'Cost Assumptions'!B6,IF(A79&lt;=50,'Cost Assumptions'!C6,IF(A79&lt;=100,'Cost Assumptions'!D6,'Cost Assumptions'!E6)))</x:f>
        <x:v>187500</x:v>
      </x:c>
      <x:c r="F79" s="16" t="n">
        <x:f>A79*(IF(A79&lt;=10,'Cost Assumptions'!B7+'Cost Assumptions'!B8,IF(A79&lt;=50,'Cost Assumptions'!C7+'Cost Assumptions'!C8,IF(A79&lt;=100,'Cost Assumptions'!D7+'Cost Assumptions'!D8,'Cost Assumptions'!E7+'Cost Assumptions'!E8))))</x:f>
        <x:v>180000</x:v>
      </x:c>
      <x:c r="G79" s="16" t="n">
        <x:f>IF(A79&lt;=10,'Cost Assumptions'!B9,IF(A79&lt;=50,'Cost Assumptions'!C9,IF(A79&lt;=100,MAX('Cost Assumptions'!D9,C79*'Cost Assumptions'!D10),C79*'Cost Assumptions'!E10)))</x:f>
        <x:v>242910</x:v>
      </x:c>
      <x:c r="H79" s="16" t="n">
        <x:f>C79*IF(A79&lt;=10,'Cost Assumptions'!B11,IF(A79&lt;=50,'Cost Assumptions'!C11,IF(A79&lt;=100,'Cost Assumptions'!D11,'Cost Assumptions'!E11)))</x:f>
        <x:v>47772.299999999996</x:v>
      </x:c>
      <x:c r="I79" s="16" t="n">
        <x:f>SUM(D79:H79)</x:f>
        <x:v>693182.3</x:v>
      </x:c>
      <x:c r="J79" s="16" t="n">
        <x:f>C79-I79</x:f>
        <x:v>1331067.7</x:v>
      </x:c>
      <x:c r="K79" s="20" t="n">
        <x:f>J79/C79</x:f>
        <x:v>0.6575609237989378</x:v>
      </x:c>
      <x:c r="L79" s="11"/>
      <x:c r="M79" s="11"/>
      <x:c r="N79" s="11"/>
      <x:c r="O79" s="11"/>
      <x:c r="P79" s="11"/>
    </x:row>
    <x:row r="80">
      <x:c r="A80" s="11" t="n">
        <x:v>760</x:v>
      </x:c>
      <x:c r="B80" s="16" t="n">
        <x:f>'Pricing Strategy'!$B$8</x:f>
        <x:v>2699</x:v>
      </x:c>
      <x:c r="C80" s="16" t="n">
        <x:f>A80*B80</x:f>
        <x:v>2051240</x:v>
      </x:c>
      <x:c r="D80" s="16" t="n">
        <x:f>IF(A80&lt;=10,'Cost Assumptions'!B4+'Cost Assumptions'!B5,IF(A80&lt;=50,'Cost Assumptions'!C4+'Cost Assumptions'!C5,IF(A80&lt;=100,'Cost Assumptions'!D4+'Cost Assumptions'!D5,'Cost Assumptions'!E4+'Cost Assumptions'!E5)))</x:f>
        <x:v>35000</x:v>
      </x:c>
      <x:c r="E80" s="16" t="n">
        <x:f>A80*IF(A80&lt;=10,'Cost Assumptions'!B6,IF(A80&lt;=50,'Cost Assumptions'!C6,IF(A80&lt;=100,'Cost Assumptions'!D6,'Cost Assumptions'!E6)))</x:f>
        <x:v>190000</x:v>
      </x:c>
      <x:c r="F80" s="16" t="n">
        <x:f>A80*(IF(A80&lt;=10,'Cost Assumptions'!B7+'Cost Assumptions'!B8,IF(A80&lt;=50,'Cost Assumptions'!C7+'Cost Assumptions'!C8,IF(A80&lt;=100,'Cost Assumptions'!D7+'Cost Assumptions'!D8,'Cost Assumptions'!E7+'Cost Assumptions'!E8))))</x:f>
        <x:v>182400</x:v>
      </x:c>
      <x:c r="G80" s="16" t="n">
        <x:f>IF(A80&lt;=10,'Cost Assumptions'!B9,IF(A80&lt;=50,'Cost Assumptions'!C9,IF(A80&lt;=100,MAX('Cost Assumptions'!D9,C80*'Cost Assumptions'!D10),C80*'Cost Assumptions'!E10)))</x:f>
        <x:v>246148.8</x:v>
      </x:c>
      <x:c r="H80" s="16" t="n">
        <x:f>C80*IF(A80&lt;=10,'Cost Assumptions'!B11,IF(A80&lt;=50,'Cost Assumptions'!C11,IF(A80&lt;=100,'Cost Assumptions'!D11,'Cost Assumptions'!E11)))</x:f>
        <x:v>48409.263999999996</x:v>
      </x:c>
      <x:c r="I80" s="16" t="n">
        <x:f>SUM(D80:H80)</x:f>
        <x:v>701958.064</x:v>
      </x:c>
      <x:c r="J80" s="16" t="n">
        <x:f>C80-I80</x:f>
        <x:v>1349281.936</x:v>
      </x:c>
      <x:c r="K80" s="20" t="n">
        <x:f>J80/C80</x:f>
        <x:v>0.6577884284627835</x:v>
      </x:c>
      <x:c r="L80" s="11"/>
      <x:c r="M80" s="11"/>
      <x:c r="N80" s="11"/>
      <x:c r="O80" s="11"/>
      <x:c r="P80" s="11"/>
    </x:row>
    <x:row r="81">
      <x:c r="A81" s="11" t="n">
        <x:v>770</x:v>
      </x:c>
      <x:c r="B81" s="16" t="n">
        <x:f>'Pricing Strategy'!$B$8</x:f>
        <x:v>2699</x:v>
      </x:c>
      <x:c r="C81" s="16" t="n">
        <x:f>A81*B81</x:f>
        <x:v>2078230</x:v>
      </x:c>
      <x:c r="D81" s="16" t="n">
        <x:f>IF(A81&lt;=10,'Cost Assumptions'!B4+'Cost Assumptions'!B5,IF(A81&lt;=50,'Cost Assumptions'!C4+'Cost Assumptions'!C5,IF(A81&lt;=100,'Cost Assumptions'!D4+'Cost Assumptions'!D5,'Cost Assumptions'!E4+'Cost Assumptions'!E5)))</x:f>
        <x:v>35000</x:v>
      </x:c>
      <x:c r="E81" s="16" t="n">
        <x:f>A81*IF(A81&lt;=10,'Cost Assumptions'!B6,IF(A81&lt;=50,'Cost Assumptions'!C6,IF(A81&lt;=100,'Cost Assumptions'!D6,'Cost Assumptions'!E6)))</x:f>
        <x:v>192500</x:v>
      </x:c>
      <x:c r="F81" s="16" t="n">
        <x:f>A81*(IF(A81&lt;=10,'Cost Assumptions'!B7+'Cost Assumptions'!B8,IF(A81&lt;=50,'Cost Assumptions'!C7+'Cost Assumptions'!C8,IF(A81&lt;=100,'Cost Assumptions'!D7+'Cost Assumptions'!D8,'Cost Assumptions'!E7+'Cost Assumptions'!E8))))</x:f>
        <x:v>184800</x:v>
      </x:c>
      <x:c r="G81" s="16" t="n">
        <x:f>IF(A81&lt;=10,'Cost Assumptions'!B9,IF(A81&lt;=50,'Cost Assumptions'!C9,IF(A81&lt;=100,MAX('Cost Assumptions'!D9,C81*'Cost Assumptions'!D10),C81*'Cost Assumptions'!E10)))</x:f>
        <x:v>249387.59999999998</x:v>
      </x:c>
      <x:c r="H81" s="16" t="n">
        <x:f>C81*IF(A81&lt;=10,'Cost Assumptions'!B11,IF(A81&lt;=50,'Cost Assumptions'!C11,IF(A81&lt;=100,'Cost Assumptions'!D11,'Cost Assumptions'!E11)))</x:f>
        <x:v>49046.227999999996</x:v>
      </x:c>
      <x:c r="I81" s="16" t="n">
        <x:f>SUM(D81:H81)</x:f>
        <x:v>710733.828</x:v>
      </x:c>
      <x:c r="J81" s="16" t="n">
        <x:f>C81-I81</x:f>
        <x:v>1367496.172</x:v>
      </x:c>
      <x:c r="K81" s="20" t="n">
        <x:f>J81/C81</x:f>
        <x:v>0.6580100239145812</x:v>
      </x:c>
      <x:c r="L81" s="11"/>
      <x:c r="M81" s="11"/>
      <x:c r="N81" s="11"/>
      <x:c r="O81" s="11"/>
      <x:c r="P81" s="11"/>
    </x:row>
    <x:row r="82">
      <x:c r="A82" s="11" t="n">
        <x:v>780</x:v>
      </x:c>
      <x:c r="B82" s="16" t="n">
        <x:f>'Pricing Strategy'!$B$8</x:f>
        <x:v>2699</x:v>
      </x:c>
      <x:c r="C82" s="16" t="n">
        <x:f>A82*B82</x:f>
        <x:v>2105220</x:v>
      </x:c>
      <x:c r="D82" s="16" t="n">
        <x:f>IF(A82&lt;=10,'Cost Assumptions'!B4+'Cost Assumptions'!B5,IF(A82&lt;=50,'Cost Assumptions'!C4+'Cost Assumptions'!C5,IF(A82&lt;=100,'Cost Assumptions'!D4+'Cost Assumptions'!D5,'Cost Assumptions'!E4+'Cost Assumptions'!E5)))</x:f>
        <x:v>35000</x:v>
      </x:c>
      <x:c r="E82" s="16" t="n">
        <x:f>A82*IF(A82&lt;=10,'Cost Assumptions'!B6,IF(A82&lt;=50,'Cost Assumptions'!C6,IF(A82&lt;=100,'Cost Assumptions'!D6,'Cost Assumptions'!E6)))</x:f>
        <x:v>195000</x:v>
      </x:c>
      <x:c r="F82" s="16" t="n">
        <x:f>A82*(IF(A82&lt;=10,'Cost Assumptions'!B7+'Cost Assumptions'!B8,IF(A82&lt;=50,'Cost Assumptions'!C7+'Cost Assumptions'!C8,IF(A82&lt;=100,'Cost Assumptions'!D7+'Cost Assumptions'!D8,'Cost Assumptions'!E7+'Cost Assumptions'!E8))))</x:f>
        <x:v>187200</x:v>
      </x:c>
      <x:c r="G82" s="16" t="n">
        <x:f>IF(A82&lt;=10,'Cost Assumptions'!B9,IF(A82&lt;=50,'Cost Assumptions'!C9,IF(A82&lt;=100,MAX('Cost Assumptions'!D9,C82*'Cost Assumptions'!D10),C82*'Cost Assumptions'!E10)))</x:f>
        <x:v>252626.4</x:v>
      </x:c>
      <x:c r="H82" s="16" t="n">
        <x:f>C82*IF(A82&lt;=10,'Cost Assumptions'!B11,IF(A82&lt;=50,'Cost Assumptions'!C11,IF(A82&lt;=100,'Cost Assumptions'!D11,'Cost Assumptions'!E11)))</x:f>
        <x:v>49683.191999999995</x:v>
      </x:c>
      <x:c r="I82" s="16" t="n">
        <x:f>SUM(D82:H82)</x:f>
        <x:v>719509.5920000001</x:v>
      </x:c>
      <x:c r="J82" s="16" t="n">
        <x:f>C82-I82</x:f>
        <x:v>1385710.4079999998</x:v>
      </x:c>
      <x:c r="K82" s="20" t="n">
        <x:f>J82/C82</x:f>
        <x:v>0.6582259374317173</x:v>
      </x:c>
      <x:c r="L82" s="11"/>
      <x:c r="M82" s="11"/>
      <x:c r="N82" s="11"/>
      <x:c r="O82" s="11"/>
      <x:c r="P82" s="11"/>
    </x:row>
    <x:row r="83">
      <x:c r="A83" s="11" t="n">
        <x:v>790</x:v>
      </x:c>
      <x:c r="B83" s="16" t="n">
        <x:f>'Pricing Strategy'!$B$8</x:f>
        <x:v>2699</x:v>
      </x:c>
      <x:c r="C83" s="16" t="n">
        <x:f>A83*B83</x:f>
        <x:v>2132210</x:v>
      </x:c>
      <x:c r="D83" s="16" t="n">
        <x:f>IF(A83&lt;=10,'Cost Assumptions'!B4+'Cost Assumptions'!B5,IF(A83&lt;=50,'Cost Assumptions'!C4+'Cost Assumptions'!C5,IF(A83&lt;=100,'Cost Assumptions'!D4+'Cost Assumptions'!D5,'Cost Assumptions'!E4+'Cost Assumptions'!E5)))</x:f>
        <x:v>35000</x:v>
      </x:c>
      <x:c r="E83" s="16" t="n">
        <x:f>A83*IF(A83&lt;=10,'Cost Assumptions'!B6,IF(A83&lt;=50,'Cost Assumptions'!C6,IF(A83&lt;=100,'Cost Assumptions'!D6,'Cost Assumptions'!E6)))</x:f>
        <x:v>197500</x:v>
      </x:c>
      <x:c r="F83" s="16" t="n">
        <x:f>A83*(IF(A83&lt;=10,'Cost Assumptions'!B7+'Cost Assumptions'!B8,IF(A83&lt;=50,'Cost Assumptions'!C7+'Cost Assumptions'!C8,IF(A83&lt;=100,'Cost Assumptions'!D7+'Cost Assumptions'!D8,'Cost Assumptions'!E7+'Cost Assumptions'!E8))))</x:f>
        <x:v>189600</x:v>
      </x:c>
      <x:c r="G83" s="16" t="n">
        <x:f>IF(A83&lt;=10,'Cost Assumptions'!B9,IF(A83&lt;=50,'Cost Assumptions'!C9,IF(A83&lt;=100,MAX('Cost Assumptions'!D9,C83*'Cost Assumptions'!D10),C83*'Cost Assumptions'!E10)))</x:f>
        <x:v>255865.19999999998</x:v>
      </x:c>
      <x:c r="H83" s="16" t="n">
        <x:f>C83*IF(A83&lt;=10,'Cost Assumptions'!B11,IF(A83&lt;=50,'Cost Assumptions'!C11,IF(A83&lt;=100,'Cost Assumptions'!D11,'Cost Assumptions'!E11)))</x:f>
        <x:v>50320.155999999995</x:v>
      </x:c>
      <x:c r="I83" s="16" t="n">
        <x:f>SUM(D83:H83)</x:f>
        <x:v>728285.3559999999</x:v>
      </x:c>
      <x:c r="J83" s="16" t="n">
        <x:f>C83-I83</x:f>
        <x:v>1403924.644</x:v>
      </x:c>
      <x:c r="K83" s="20" t="n">
        <x:f>J83/C83</x:f>
        <x:v>0.6584363847838628</x:v>
      </x:c>
      <x:c r="L83" s="11"/>
      <x:c r="M83" s="11"/>
      <x:c r="N83" s="11"/>
      <x:c r="O83" s="11"/>
      <x:c r="P83" s="11"/>
    </x:row>
    <x:row r="84">
      <x:c r="A84" s="11" t="n">
        <x:v>800</x:v>
      </x:c>
      <x:c r="B84" s="16" t="n">
        <x:f>'Pricing Strategy'!$B$8</x:f>
        <x:v>2699</x:v>
      </x:c>
      <x:c r="C84" s="16" t="n">
        <x:f>A84*B84</x:f>
        <x:v>2159200</x:v>
      </x:c>
      <x:c r="D84" s="16" t="n">
        <x:f>IF(A84&lt;=10,'Cost Assumptions'!B4+'Cost Assumptions'!B5,IF(A84&lt;=50,'Cost Assumptions'!C4+'Cost Assumptions'!C5,IF(A84&lt;=100,'Cost Assumptions'!D4+'Cost Assumptions'!D5,'Cost Assumptions'!E4+'Cost Assumptions'!E5)))</x:f>
        <x:v>35000</x:v>
      </x:c>
      <x:c r="E84" s="16" t="n">
        <x:f>A84*IF(A84&lt;=10,'Cost Assumptions'!B6,IF(A84&lt;=50,'Cost Assumptions'!C6,IF(A84&lt;=100,'Cost Assumptions'!D6,'Cost Assumptions'!E6)))</x:f>
        <x:v>200000</x:v>
      </x:c>
      <x:c r="F84" s="16" t="n">
        <x:f>A84*(IF(A84&lt;=10,'Cost Assumptions'!B7+'Cost Assumptions'!B8,IF(A84&lt;=50,'Cost Assumptions'!C7+'Cost Assumptions'!C8,IF(A84&lt;=100,'Cost Assumptions'!D7+'Cost Assumptions'!D8,'Cost Assumptions'!E7+'Cost Assumptions'!E8))))</x:f>
        <x:v>192000</x:v>
      </x:c>
      <x:c r="G84" s="16" t="n">
        <x:f>IF(A84&lt;=10,'Cost Assumptions'!B9,IF(A84&lt;=50,'Cost Assumptions'!C9,IF(A84&lt;=100,MAX('Cost Assumptions'!D9,C84*'Cost Assumptions'!D10),C84*'Cost Assumptions'!E10)))</x:f>
        <x:v>259104</x:v>
      </x:c>
      <x:c r="H84" s="16" t="n">
        <x:f>C84*IF(A84&lt;=10,'Cost Assumptions'!B11,IF(A84&lt;=50,'Cost Assumptions'!C11,IF(A84&lt;=100,'Cost Assumptions'!D11,'Cost Assumptions'!E11)))</x:f>
        <x:v>50957.119999999995</x:v>
      </x:c>
      <x:c r="I84" s="16" t="n">
        <x:f>SUM(D84:H84)</x:f>
        <x:v>737061.12</x:v>
      </x:c>
      <x:c r="J84" s="16" t="n">
        <x:f>C84-I84</x:f>
        <x:v>1422138.88</x:v>
      </x:c>
      <x:c r="K84" s="20" t="n">
        <x:f>J84/C84</x:f>
        <x:v>0.6586415709522044</x:v>
      </x:c>
      <x:c r="L84" s="11"/>
      <x:c r="M84" s="11"/>
      <x:c r="N84" s="11"/>
      <x:c r="O84" s="11"/>
      <x:c r="P84" s="11"/>
    </x:row>
    <x:row r="85">
      <x:c r="A85" s="11" t="n">
        <x:v>810</x:v>
      </x:c>
      <x:c r="B85" s="16" t="n">
        <x:f>'Pricing Strategy'!$B$8</x:f>
        <x:v>2699</x:v>
      </x:c>
      <x:c r="C85" s="16" t="n">
        <x:f>A85*B85</x:f>
        <x:v>2186190</x:v>
      </x:c>
      <x:c r="D85" s="16" t="n">
        <x:f>IF(A85&lt;=10,'Cost Assumptions'!B4+'Cost Assumptions'!B5,IF(A85&lt;=50,'Cost Assumptions'!C4+'Cost Assumptions'!C5,IF(A85&lt;=100,'Cost Assumptions'!D4+'Cost Assumptions'!D5,'Cost Assumptions'!E4+'Cost Assumptions'!E5)))</x:f>
        <x:v>35000</x:v>
      </x:c>
      <x:c r="E85" s="16" t="n">
        <x:f>A85*IF(A85&lt;=10,'Cost Assumptions'!B6,IF(A85&lt;=50,'Cost Assumptions'!C6,IF(A85&lt;=100,'Cost Assumptions'!D6,'Cost Assumptions'!E6)))</x:f>
        <x:v>202500</x:v>
      </x:c>
      <x:c r="F85" s="16" t="n">
        <x:f>A85*(IF(A85&lt;=10,'Cost Assumptions'!B7+'Cost Assumptions'!B8,IF(A85&lt;=50,'Cost Assumptions'!C7+'Cost Assumptions'!C8,IF(A85&lt;=100,'Cost Assumptions'!D7+'Cost Assumptions'!D8,'Cost Assumptions'!E7+'Cost Assumptions'!E8))))</x:f>
        <x:v>194400</x:v>
      </x:c>
      <x:c r="G85" s="16" t="n">
        <x:f>IF(A85&lt;=10,'Cost Assumptions'!B9,IF(A85&lt;=50,'Cost Assumptions'!C9,IF(A85&lt;=100,MAX('Cost Assumptions'!D9,C85*'Cost Assumptions'!D10),C85*'Cost Assumptions'!E10)))</x:f>
        <x:v>262342.8</x:v>
      </x:c>
      <x:c r="H85" s="16" t="n">
        <x:f>C85*IF(A85&lt;=10,'Cost Assumptions'!B11,IF(A85&lt;=50,'Cost Assumptions'!C11,IF(A85&lt;=100,'Cost Assumptions'!D11,'Cost Assumptions'!E11)))</x:f>
        <x:v>51594.083999999995</x:v>
      </x:c>
      <x:c r="I85" s="16" t="n">
        <x:f>SUM(D85:H85)</x:f>
        <x:v>745836.8840000001</x:v>
      </x:c>
      <x:c r="J85" s="16" t="n">
        <x:f>C85-I85</x:f>
        <x:v>1440353.116</x:v>
      </x:c>
      <x:c r="K85" s="20" t="n">
        <x:f>J85/C85</x:f>
        <x:v>0.658841690795402</x:v>
      </x:c>
      <x:c r="L85" s="11"/>
      <x:c r="M85" s="11"/>
      <x:c r="N85" s="11"/>
      <x:c r="O85" s="11"/>
      <x:c r="P85" s="11"/>
    </x:row>
    <x:row r="86">
      <x:c r="A86" s="11" t="n">
        <x:v>820</x:v>
      </x:c>
      <x:c r="B86" s="16" t="n">
        <x:f>'Pricing Strategy'!$B$8</x:f>
        <x:v>2699</x:v>
      </x:c>
      <x:c r="C86" s="16" t="n">
        <x:f>A86*B86</x:f>
        <x:v>2213180</x:v>
      </x:c>
      <x:c r="D86" s="16" t="n">
        <x:f>IF(A86&lt;=10,'Cost Assumptions'!B4+'Cost Assumptions'!B5,IF(A86&lt;=50,'Cost Assumptions'!C4+'Cost Assumptions'!C5,IF(A86&lt;=100,'Cost Assumptions'!D4+'Cost Assumptions'!D5,'Cost Assumptions'!E4+'Cost Assumptions'!E5)))</x:f>
        <x:v>35000</x:v>
      </x:c>
      <x:c r="E86" s="16" t="n">
        <x:f>A86*IF(A86&lt;=10,'Cost Assumptions'!B6,IF(A86&lt;=50,'Cost Assumptions'!C6,IF(A86&lt;=100,'Cost Assumptions'!D6,'Cost Assumptions'!E6)))</x:f>
        <x:v>205000</x:v>
      </x:c>
      <x:c r="F86" s="16" t="n">
        <x:f>A86*(IF(A86&lt;=10,'Cost Assumptions'!B7+'Cost Assumptions'!B8,IF(A86&lt;=50,'Cost Assumptions'!C7+'Cost Assumptions'!C8,IF(A86&lt;=100,'Cost Assumptions'!D7+'Cost Assumptions'!D8,'Cost Assumptions'!E7+'Cost Assumptions'!E8))))</x:f>
        <x:v>196800</x:v>
      </x:c>
      <x:c r="G86" s="16" t="n">
        <x:f>IF(A86&lt;=10,'Cost Assumptions'!B9,IF(A86&lt;=50,'Cost Assumptions'!C9,IF(A86&lt;=100,MAX('Cost Assumptions'!D9,C86*'Cost Assumptions'!D10),C86*'Cost Assumptions'!E10)))</x:f>
        <x:v>265581.6</x:v>
      </x:c>
      <x:c r="H86" s="16" t="n">
        <x:f>C86*IF(A86&lt;=10,'Cost Assumptions'!B11,IF(A86&lt;=50,'Cost Assumptions'!C11,IF(A86&lt;=100,'Cost Assumptions'!D11,'Cost Assumptions'!E11)))</x:f>
        <x:v>52231.047999999995</x:v>
      </x:c>
      <x:c r="I86" s="16" t="n">
        <x:f>SUM(D86:H86)</x:f>
        <x:v>754612.6479999999</x:v>
      </x:c>
      <x:c r="J86" s="16" t="n">
        <x:f>C86-I86</x:f>
        <x:v>1458567.352</x:v>
      </x:c>
      <x:c r="K86" s="20" t="n">
        <x:f>J86/C86</x:f>
        <x:v>0.6590369296668143</x:v>
      </x:c>
      <x:c r="L86" s="11"/>
      <x:c r="M86" s="11"/>
      <x:c r="N86" s="11"/>
      <x:c r="O86" s="11"/>
      <x:c r="P86" s="11"/>
    </x:row>
    <x:row r="87">
      <x:c r="A87" s="11" t="n">
        <x:v>830</x:v>
      </x:c>
      <x:c r="B87" s="16" t="n">
        <x:f>'Pricing Strategy'!$B$8</x:f>
        <x:v>2699</x:v>
      </x:c>
      <x:c r="C87" s="16" t="n">
        <x:f>A87*B87</x:f>
        <x:v>2240170</x:v>
      </x:c>
      <x:c r="D87" s="16" t="n">
        <x:f>IF(A87&lt;=10,'Cost Assumptions'!B4+'Cost Assumptions'!B5,IF(A87&lt;=50,'Cost Assumptions'!C4+'Cost Assumptions'!C5,IF(A87&lt;=100,'Cost Assumptions'!D4+'Cost Assumptions'!D5,'Cost Assumptions'!E4+'Cost Assumptions'!E5)))</x:f>
        <x:v>35000</x:v>
      </x:c>
      <x:c r="E87" s="16" t="n">
        <x:f>A87*IF(A87&lt;=10,'Cost Assumptions'!B6,IF(A87&lt;=50,'Cost Assumptions'!C6,IF(A87&lt;=100,'Cost Assumptions'!D6,'Cost Assumptions'!E6)))</x:f>
        <x:v>207500</x:v>
      </x:c>
      <x:c r="F87" s="16" t="n">
        <x:f>A87*(IF(A87&lt;=10,'Cost Assumptions'!B7+'Cost Assumptions'!B8,IF(A87&lt;=50,'Cost Assumptions'!C7+'Cost Assumptions'!C8,IF(A87&lt;=100,'Cost Assumptions'!D7+'Cost Assumptions'!D8,'Cost Assumptions'!E7+'Cost Assumptions'!E8))))</x:f>
        <x:v>199200</x:v>
      </x:c>
      <x:c r="G87" s="16" t="n">
        <x:f>IF(A87&lt;=10,'Cost Assumptions'!B9,IF(A87&lt;=50,'Cost Assumptions'!C9,IF(A87&lt;=100,MAX('Cost Assumptions'!D9,C87*'Cost Assumptions'!D10),C87*'Cost Assumptions'!E10)))</x:f>
        <x:v>268820.39999999997</x:v>
      </x:c>
      <x:c r="H87" s="16" t="n">
        <x:f>C87*IF(A87&lt;=10,'Cost Assumptions'!B11,IF(A87&lt;=50,'Cost Assumptions'!C11,IF(A87&lt;=100,'Cost Assumptions'!D11,'Cost Assumptions'!E11)))</x:f>
        <x:v>52868.011999999995</x:v>
      </x:c>
      <x:c r="I87" s="16" t="n">
        <x:f>SUM(D87:H87)</x:f>
        <x:v>763388.4119999999</x:v>
      </x:c>
      <x:c r="J87" s="16" t="n">
        <x:f>C87-I87</x:f>
        <x:v>1476781.588</x:v>
      </x:c>
      <x:c r="K87" s="20" t="n">
        <x:f>J87/C87</x:f>
        <x:v>0.6592274639871081</x:v>
      </x:c>
      <x:c r="L87" s="11"/>
      <x:c r="M87" s="11"/>
      <x:c r="N87" s="11"/>
      <x:c r="O87" s="11"/>
      <x:c r="P87" s="11"/>
    </x:row>
    <x:row r="88">
      <x:c r="A88" s="11" t="n">
        <x:v>840</x:v>
      </x:c>
      <x:c r="B88" s="16" t="n">
        <x:f>'Pricing Strategy'!$B$8</x:f>
        <x:v>2699</x:v>
      </x:c>
      <x:c r="C88" s="16" t="n">
        <x:f>A88*B88</x:f>
        <x:v>2267160</x:v>
      </x:c>
      <x:c r="D88" s="16" t="n">
        <x:f>IF(A88&lt;=10,'Cost Assumptions'!B4+'Cost Assumptions'!B5,IF(A88&lt;=50,'Cost Assumptions'!C4+'Cost Assumptions'!C5,IF(A88&lt;=100,'Cost Assumptions'!D4+'Cost Assumptions'!D5,'Cost Assumptions'!E4+'Cost Assumptions'!E5)))</x:f>
        <x:v>35000</x:v>
      </x:c>
      <x:c r="E88" s="16" t="n">
        <x:f>A88*IF(A88&lt;=10,'Cost Assumptions'!B6,IF(A88&lt;=50,'Cost Assumptions'!C6,IF(A88&lt;=100,'Cost Assumptions'!D6,'Cost Assumptions'!E6)))</x:f>
        <x:v>210000</x:v>
      </x:c>
      <x:c r="F88" s="16" t="n">
        <x:f>A88*(IF(A88&lt;=10,'Cost Assumptions'!B7+'Cost Assumptions'!B8,IF(A88&lt;=50,'Cost Assumptions'!C7+'Cost Assumptions'!C8,IF(A88&lt;=100,'Cost Assumptions'!D7+'Cost Assumptions'!D8,'Cost Assumptions'!E7+'Cost Assumptions'!E8))))</x:f>
        <x:v>201600</x:v>
      </x:c>
      <x:c r="G88" s="16" t="n">
        <x:f>IF(A88&lt;=10,'Cost Assumptions'!B9,IF(A88&lt;=50,'Cost Assumptions'!C9,IF(A88&lt;=100,MAX('Cost Assumptions'!D9,C88*'Cost Assumptions'!D10),C88*'Cost Assumptions'!E10)))</x:f>
        <x:v>272059.2</x:v>
      </x:c>
      <x:c r="H88" s="16" t="n">
        <x:f>C88*IF(A88&lt;=10,'Cost Assumptions'!B11,IF(A88&lt;=50,'Cost Assumptions'!C11,IF(A88&lt;=100,'Cost Assumptions'!D11,'Cost Assumptions'!E11)))</x:f>
        <x:v>53504.976</x:v>
      </x:c>
      <x:c r="I88" s="16" t="n">
        <x:f>SUM(D88:H88)</x:f>
        <x:v>772164.176</x:v>
      </x:c>
      <x:c r="J88" s="16" t="n">
        <x:f>C88-I88</x:f>
        <x:v>1494995.824</x:v>
      </x:c>
      <x:c r="K88" s="20" t="n">
        <x:f>J88/C88</x:f>
        <x:v>0.6594134617759664</x:v>
      </x:c>
      <x:c r="L88" s="11"/>
      <x:c r="M88" s="11"/>
      <x:c r="N88" s="11"/>
      <x:c r="O88" s="11"/>
      <x:c r="P88" s="11"/>
    </x:row>
    <x:row r="89">
      <x:c r="A89" s="11" t="n">
        <x:v>850</x:v>
      </x:c>
      <x:c r="B89" s="16" t="n">
        <x:f>'Pricing Strategy'!$B$8</x:f>
        <x:v>2699</x:v>
      </x:c>
      <x:c r="C89" s="16" t="n">
        <x:f>A89*B89</x:f>
        <x:v>2294150</x:v>
      </x:c>
      <x:c r="D89" s="16" t="n">
        <x:f>IF(A89&lt;=10,'Cost Assumptions'!B4+'Cost Assumptions'!B5,IF(A89&lt;=50,'Cost Assumptions'!C4+'Cost Assumptions'!C5,IF(A89&lt;=100,'Cost Assumptions'!D4+'Cost Assumptions'!D5,'Cost Assumptions'!E4+'Cost Assumptions'!E5)))</x:f>
        <x:v>35000</x:v>
      </x:c>
      <x:c r="E89" s="16" t="n">
        <x:f>A89*IF(A89&lt;=10,'Cost Assumptions'!B6,IF(A89&lt;=50,'Cost Assumptions'!C6,IF(A89&lt;=100,'Cost Assumptions'!D6,'Cost Assumptions'!E6)))</x:f>
        <x:v>212500</x:v>
      </x:c>
      <x:c r="F89" s="16" t="n">
        <x:f>A89*(IF(A89&lt;=10,'Cost Assumptions'!B7+'Cost Assumptions'!B8,IF(A89&lt;=50,'Cost Assumptions'!C7+'Cost Assumptions'!C8,IF(A89&lt;=100,'Cost Assumptions'!D7+'Cost Assumptions'!D8,'Cost Assumptions'!E7+'Cost Assumptions'!E8))))</x:f>
        <x:v>204000</x:v>
      </x:c>
      <x:c r="G89" s="16" t="n">
        <x:f>IF(A89&lt;=10,'Cost Assumptions'!B9,IF(A89&lt;=50,'Cost Assumptions'!C9,IF(A89&lt;=100,MAX('Cost Assumptions'!D9,C89*'Cost Assumptions'!D10),C89*'Cost Assumptions'!E10)))</x:f>
        <x:v>275298</x:v>
      </x:c>
      <x:c r="H89" s="16" t="n">
        <x:f>C89*IF(A89&lt;=10,'Cost Assumptions'!B11,IF(A89&lt;=50,'Cost Assumptions'!C11,IF(A89&lt;=100,'Cost Assumptions'!D11,'Cost Assumptions'!E11)))</x:f>
        <x:v>54141.94</x:v>
      </x:c>
      <x:c r="I89" s="16" t="n">
        <x:f>SUM(D89:H89)</x:f>
        <x:v>780939.94</x:v>
      </x:c>
      <x:c r="J89" s="16" t="n">
        <x:f>C89-I89</x:f>
        <x:v>1513210.06</x:v>
      </x:c>
      <x:c r="K89" s="20" t="n">
        <x:f>J89/C89</x:f>
        <x:v>0.6595950831462634</x:v>
      </x:c>
      <x:c r="L89" s="11"/>
      <x:c r="M89" s="11"/>
      <x:c r="N89" s="11"/>
      <x:c r="O89" s="11"/>
      <x:c r="P89" s="11"/>
    </x:row>
    <x:row r="90">
      <x:c r="A90" s="11" t="n">
        <x:v>860</x:v>
      </x:c>
      <x:c r="B90" s="16" t="n">
        <x:f>'Pricing Strategy'!$B$8</x:f>
        <x:v>2699</x:v>
      </x:c>
      <x:c r="C90" s="16" t="n">
        <x:f>A90*B90</x:f>
        <x:v>2321140</x:v>
      </x:c>
      <x:c r="D90" s="16" t="n">
        <x:f>IF(A90&lt;=10,'Cost Assumptions'!B4+'Cost Assumptions'!B5,IF(A90&lt;=50,'Cost Assumptions'!C4+'Cost Assumptions'!C5,IF(A90&lt;=100,'Cost Assumptions'!D4+'Cost Assumptions'!D5,'Cost Assumptions'!E4+'Cost Assumptions'!E5)))</x:f>
        <x:v>35000</x:v>
      </x:c>
      <x:c r="E90" s="16" t="n">
        <x:f>A90*IF(A90&lt;=10,'Cost Assumptions'!B6,IF(A90&lt;=50,'Cost Assumptions'!C6,IF(A90&lt;=100,'Cost Assumptions'!D6,'Cost Assumptions'!E6)))</x:f>
        <x:v>215000</x:v>
      </x:c>
      <x:c r="F90" s="16" t="n">
        <x:f>A90*(IF(A90&lt;=10,'Cost Assumptions'!B7+'Cost Assumptions'!B8,IF(A90&lt;=50,'Cost Assumptions'!C7+'Cost Assumptions'!C8,IF(A90&lt;=100,'Cost Assumptions'!D7+'Cost Assumptions'!D8,'Cost Assumptions'!E7+'Cost Assumptions'!E8))))</x:f>
        <x:v>206400</x:v>
      </x:c>
      <x:c r="G90" s="16" t="n">
        <x:f>IF(A90&lt;=10,'Cost Assumptions'!B9,IF(A90&lt;=50,'Cost Assumptions'!C9,IF(A90&lt;=100,MAX('Cost Assumptions'!D9,C90*'Cost Assumptions'!D10),C90*'Cost Assumptions'!E10)))</x:f>
        <x:v>278536.8</x:v>
      </x:c>
      <x:c r="H90" s="16" t="n">
        <x:f>C90*IF(A90&lt;=10,'Cost Assumptions'!B11,IF(A90&lt;=50,'Cost Assumptions'!C11,IF(A90&lt;=100,'Cost Assumptions'!D11,'Cost Assumptions'!E11)))</x:f>
        <x:v>54778.904</x:v>
      </x:c>
      <x:c r="I90" s="16" t="n">
        <x:f>SUM(D90:H90)</x:f>
        <x:v>789715.704</x:v>
      </x:c>
      <x:c r="J90" s="16" t="n">
        <x:f>C90-I90</x:f>
        <x:v>1531424.296</x:v>
      </x:c>
      <x:c r="K90" s="20" t="n">
        <x:f>J90/C90</x:f>
        <x:v>0.6597724807637627</x:v>
      </x:c>
      <x:c r="L90" s="11"/>
      <x:c r="M90" s="11"/>
      <x:c r="N90" s="11"/>
      <x:c r="O90" s="11"/>
      <x:c r="P90" s="11"/>
    </x:row>
    <x:row r="91">
      <x:c r="A91" s="11" t="n">
        <x:v>870</x:v>
      </x:c>
      <x:c r="B91" s="16" t="n">
        <x:f>'Pricing Strategy'!$B$8</x:f>
        <x:v>2699</x:v>
      </x:c>
      <x:c r="C91" s="16" t="n">
        <x:f>A91*B91</x:f>
        <x:v>2348130</x:v>
      </x:c>
      <x:c r="D91" s="16" t="n">
        <x:f>IF(A91&lt;=10,'Cost Assumptions'!B4+'Cost Assumptions'!B5,IF(A91&lt;=50,'Cost Assumptions'!C4+'Cost Assumptions'!C5,IF(A91&lt;=100,'Cost Assumptions'!D4+'Cost Assumptions'!D5,'Cost Assumptions'!E4+'Cost Assumptions'!E5)))</x:f>
        <x:v>35000</x:v>
      </x:c>
      <x:c r="E91" s="16" t="n">
        <x:f>A91*IF(A91&lt;=10,'Cost Assumptions'!B6,IF(A91&lt;=50,'Cost Assumptions'!C6,IF(A91&lt;=100,'Cost Assumptions'!D6,'Cost Assumptions'!E6)))</x:f>
        <x:v>217500</x:v>
      </x:c>
      <x:c r="F91" s="16" t="n">
        <x:f>A91*(IF(A91&lt;=10,'Cost Assumptions'!B7+'Cost Assumptions'!B8,IF(A91&lt;=50,'Cost Assumptions'!C7+'Cost Assumptions'!C8,IF(A91&lt;=100,'Cost Assumptions'!D7+'Cost Assumptions'!D8,'Cost Assumptions'!E7+'Cost Assumptions'!E8))))</x:f>
        <x:v>208800</x:v>
      </x:c>
      <x:c r="G91" s="16" t="n">
        <x:f>IF(A91&lt;=10,'Cost Assumptions'!B9,IF(A91&lt;=50,'Cost Assumptions'!C9,IF(A91&lt;=100,MAX('Cost Assumptions'!D9,C91*'Cost Assumptions'!D10),C91*'Cost Assumptions'!E10)))</x:f>
        <x:v>281775.6</x:v>
      </x:c>
      <x:c r="H91" s="16" t="n">
        <x:f>C91*IF(A91&lt;=10,'Cost Assumptions'!B11,IF(A91&lt;=50,'Cost Assumptions'!C11,IF(A91&lt;=100,'Cost Assumptions'!D11,'Cost Assumptions'!E11)))</x:f>
        <x:v>55415.868</x:v>
      </x:c>
      <x:c r="I91" s="16" t="n">
        <x:f>SUM(D91:H91)</x:f>
        <x:v>798491.468</x:v>
      </x:c>
      <x:c r="J91" s="16" t="n">
        <x:f>C91-I91</x:f>
        <x:v>1549638.5320000001</x:v>
      </x:c>
      <x:c r="K91" s="20" t="n">
        <x:f>J91/C91</x:f>
        <x:v>0.6599458002751126</x:v>
      </x:c>
      <x:c r="L91" s="11"/>
      <x:c r="M91" s="11"/>
      <x:c r="N91" s="11"/>
      <x:c r="O91" s="11"/>
      <x:c r="P91" s="11"/>
    </x:row>
    <x:row r="92">
      <x:c r="A92" s="11" t="n">
        <x:v>880</x:v>
      </x:c>
      <x:c r="B92" s="16" t="n">
        <x:f>'Pricing Strategy'!$B$8</x:f>
        <x:v>2699</x:v>
      </x:c>
      <x:c r="C92" s="16" t="n">
        <x:f>A92*B92</x:f>
        <x:v>2375120</x:v>
      </x:c>
      <x:c r="D92" s="16" t="n">
        <x:f>IF(A92&lt;=10,'Cost Assumptions'!B4+'Cost Assumptions'!B5,IF(A92&lt;=50,'Cost Assumptions'!C4+'Cost Assumptions'!C5,IF(A92&lt;=100,'Cost Assumptions'!D4+'Cost Assumptions'!D5,'Cost Assumptions'!E4+'Cost Assumptions'!E5)))</x:f>
        <x:v>35000</x:v>
      </x:c>
      <x:c r="E92" s="16" t="n">
        <x:f>A92*IF(A92&lt;=10,'Cost Assumptions'!B6,IF(A92&lt;=50,'Cost Assumptions'!C6,IF(A92&lt;=100,'Cost Assumptions'!D6,'Cost Assumptions'!E6)))</x:f>
        <x:v>220000</x:v>
      </x:c>
      <x:c r="F92" s="16" t="n">
        <x:f>A92*(IF(A92&lt;=10,'Cost Assumptions'!B7+'Cost Assumptions'!B8,IF(A92&lt;=50,'Cost Assumptions'!C7+'Cost Assumptions'!C8,IF(A92&lt;=100,'Cost Assumptions'!D7+'Cost Assumptions'!D8,'Cost Assumptions'!E7+'Cost Assumptions'!E8))))</x:f>
        <x:v>211200</x:v>
      </x:c>
      <x:c r="G92" s="16" t="n">
        <x:f>IF(A92&lt;=10,'Cost Assumptions'!B9,IF(A92&lt;=50,'Cost Assumptions'!C9,IF(A92&lt;=100,MAX('Cost Assumptions'!D9,C92*'Cost Assumptions'!D10),C92*'Cost Assumptions'!E10)))</x:f>
        <x:v>285014.39999999997</x:v>
      </x:c>
      <x:c r="H92" s="16" t="n">
        <x:f>C92*IF(A92&lt;=10,'Cost Assumptions'!B11,IF(A92&lt;=50,'Cost Assumptions'!C11,IF(A92&lt;=100,'Cost Assumptions'!D11,'Cost Assumptions'!E11)))</x:f>
        <x:v>56052.832</x:v>
      </x:c>
      <x:c r="I92" s="16" t="n">
        <x:f>SUM(D92:H92)</x:f>
        <x:v>807267.232</x:v>
      </x:c>
      <x:c r="J92" s="16" t="n">
        <x:f>C92-I92</x:f>
        <x:v>1567852.7680000002</x:v>
      </x:c>
      <x:c r="K92" s="20" t="n">
        <x:f>J92/C92</x:f>
        <x:v>0.6601151807066591</x:v>
      </x:c>
      <x:c r="L92" s="11"/>
      <x:c r="M92" s="11"/>
      <x:c r="N92" s="11"/>
      <x:c r="O92" s="11"/>
      <x:c r="P92" s="11"/>
    </x:row>
    <x:row r="93">
      <x:c r="A93" s="11" t="n">
        <x:v>890</x:v>
      </x:c>
      <x:c r="B93" s="16" t="n">
        <x:f>'Pricing Strategy'!$B$8</x:f>
        <x:v>2699</x:v>
      </x:c>
      <x:c r="C93" s="16" t="n">
        <x:f>A93*B93</x:f>
        <x:v>2402110</x:v>
      </x:c>
      <x:c r="D93" s="16" t="n">
        <x:f>IF(A93&lt;=10,'Cost Assumptions'!B4+'Cost Assumptions'!B5,IF(A93&lt;=50,'Cost Assumptions'!C4+'Cost Assumptions'!C5,IF(A93&lt;=100,'Cost Assumptions'!D4+'Cost Assumptions'!D5,'Cost Assumptions'!E4+'Cost Assumptions'!E5)))</x:f>
        <x:v>35000</x:v>
      </x:c>
      <x:c r="E93" s="16" t="n">
        <x:f>A93*IF(A93&lt;=10,'Cost Assumptions'!B6,IF(A93&lt;=50,'Cost Assumptions'!C6,IF(A93&lt;=100,'Cost Assumptions'!D6,'Cost Assumptions'!E6)))</x:f>
        <x:v>222500</x:v>
      </x:c>
      <x:c r="F93" s="16" t="n">
        <x:f>A93*(IF(A93&lt;=10,'Cost Assumptions'!B7+'Cost Assumptions'!B8,IF(A93&lt;=50,'Cost Assumptions'!C7+'Cost Assumptions'!C8,IF(A93&lt;=100,'Cost Assumptions'!D7+'Cost Assumptions'!D8,'Cost Assumptions'!E7+'Cost Assumptions'!E8))))</x:f>
        <x:v>213600</x:v>
      </x:c>
      <x:c r="G93" s="16" t="n">
        <x:f>IF(A93&lt;=10,'Cost Assumptions'!B9,IF(A93&lt;=50,'Cost Assumptions'!C9,IF(A93&lt;=100,MAX('Cost Assumptions'!D9,C93*'Cost Assumptions'!D10),C93*'Cost Assumptions'!E10)))</x:f>
        <x:v>288253.2</x:v>
      </x:c>
      <x:c r="H93" s="16" t="n">
        <x:f>C93*IF(A93&lt;=10,'Cost Assumptions'!B11,IF(A93&lt;=50,'Cost Assumptions'!C11,IF(A93&lt;=100,'Cost Assumptions'!D11,'Cost Assumptions'!E11)))</x:f>
        <x:v>56689.796</x:v>
      </x:c>
      <x:c r="I93" s="16" t="n">
        <x:f>SUM(D93:H93)</x:f>
        <x:v>816042.9959999999</x:v>
      </x:c>
      <x:c r="J93" s="16" t="n">
        <x:f>C93-I93</x:f>
        <x:v>1586067.0040000002</x:v>
      </x:c>
      <x:c r="K93" s="20" t="n">
        <x:f>J93/C93</x:f>
        <x:v>0.660280754836373</x:v>
      </x:c>
      <x:c r="L93" s="11"/>
      <x:c r="M93" s="11"/>
      <x:c r="N93" s="11"/>
      <x:c r="O93" s="11"/>
      <x:c r="P93" s="11"/>
    </x:row>
    <x:row r="94">
      <x:c r="A94" s="11" t="n">
        <x:v>900</x:v>
      </x:c>
      <x:c r="B94" s="16" t="n">
        <x:f>'Pricing Strategy'!$B$8</x:f>
        <x:v>2699</x:v>
      </x:c>
      <x:c r="C94" s="16" t="n">
        <x:f>A94*B94</x:f>
        <x:v>2429100</x:v>
      </x:c>
      <x:c r="D94" s="16" t="n">
        <x:f>IF(A94&lt;=10,'Cost Assumptions'!B4+'Cost Assumptions'!B5,IF(A94&lt;=50,'Cost Assumptions'!C4+'Cost Assumptions'!C5,IF(A94&lt;=100,'Cost Assumptions'!D4+'Cost Assumptions'!D5,'Cost Assumptions'!E4+'Cost Assumptions'!E5)))</x:f>
        <x:v>35000</x:v>
      </x:c>
      <x:c r="E94" s="16" t="n">
        <x:f>A94*IF(A94&lt;=10,'Cost Assumptions'!B6,IF(A94&lt;=50,'Cost Assumptions'!C6,IF(A94&lt;=100,'Cost Assumptions'!D6,'Cost Assumptions'!E6)))</x:f>
        <x:v>225000</x:v>
      </x:c>
      <x:c r="F94" s="16" t="n">
        <x:f>A94*(IF(A94&lt;=10,'Cost Assumptions'!B7+'Cost Assumptions'!B8,IF(A94&lt;=50,'Cost Assumptions'!C7+'Cost Assumptions'!C8,IF(A94&lt;=100,'Cost Assumptions'!D7+'Cost Assumptions'!D8,'Cost Assumptions'!E7+'Cost Assumptions'!E8))))</x:f>
        <x:v>216000</x:v>
      </x:c>
      <x:c r="G94" s="16" t="n">
        <x:f>IF(A94&lt;=10,'Cost Assumptions'!B9,IF(A94&lt;=50,'Cost Assumptions'!C9,IF(A94&lt;=100,MAX('Cost Assumptions'!D9,C94*'Cost Assumptions'!D10),C94*'Cost Assumptions'!E10)))</x:f>
        <x:v>291492</x:v>
      </x:c>
      <x:c r="H94" s="16" t="n">
        <x:f>C94*IF(A94&lt;=10,'Cost Assumptions'!B11,IF(A94&lt;=50,'Cost Assumptions'!C11,IF(A94&lt;=100,'Cost Assumptions'!D11,'Cost Assumptions'!E11)))</x:f>
        <x:v>57326.76</x:v>
      </x:c>
      <x:c r="I94" s="16" t="n">
        <x:f>SUM(D94:H94)</x:f>
        <x:v>824818.76</x:v>
      </x:c>
      <x:c r="J94" s="16" t="n">
        <x:f>C94-I94</x:f>
        <x:v>1604281.24</x:v>
      </x:c>
      <x:c r="K94" s="20" t="n">
        <x:f>J94/C94</x:f>
        <x:v>0.6604426495409823</x:v>
      </x:c>
      <x:c r="L94" s="11"/>
      <x:c r="M94" s="11"/>
      <x:c r="N94" s="11"/>
      <x:c r="O94" s="11"/>
      <x:c r="P94" s="11"/>
    </x:row>
    <x:row r="95">
      <x:c r="A95" s="11" t="n">
        <x:v>910</x:v>
      </x:c>
      <x:c r="B95" s="16" t="n">
        <x:f>'Pricing Strategy'!$B$8</x:f>
        <x:v>2699</x:v>
      </x:c>
      <x:c r="C95" s="16" t="n">
        <x:f>A95*B95</x:f>
        <x:v>2456090</x:v>
      </x:c>
      <x:c r="D95" s="16" t="n">
        <x:f>IF(A95&lt;=10,'Cost Assumptions'!B4+'Cost Assumptions'!B5,IF(A95&lt;=50,'Cost Assumptions'!C4+'Cost Assumptions'!C5,IF(A95&lt;=100,'Cost Assumptions'!D4+'Cost Assumptions'!D5,'Cost Assumptions'!E4+'Cost Assumptions'!E5)))</x:f>
        <x:v>35000</x:v>
      </x:c>
      <x:c r="E95" s="16" t="n">
        <x:f>A95*IF(A95&lt;=10,'Cost Assumptions'!B6,IF(A95&lt;=50,'Cost Assumptions'!C6,IF(A95&lt;=100,'Cost Assumptions'!D6,'Cost Assumptions'!E6)))</x:f>
        <x:v>227500</x:v>
      </x:c>
      <x:c r="F95" s="16" t="n">
        <x:f>A95*(IF(A95&lt;=10,'Cost Assumptions'!B7+'Cost Assumptions'!B8,IF(A95&lt;=50,'Cost Assumptions'!C7+'Cost Assumptions'!C8,IF(A95&lt;=100,'Cost Assumptions'!D7+'Cost Assumptions'!D8,'Cost Assumptions'!E7+'Cost Assumptions'!E8))))</x:f>
        <x:v>218400</x:v>
      </x:c>
      <x:c r="G95" s="16" t="n">
        <x:f>IF(A95&lt;=10,'Cost Assumptions'!B9,IF(A95&lt;=50,'Cost Assumptions'!C9,IF(A95&lt;=100,MAX('Cost Assumptions'!D9,C95*'Cost Assumptions'!D10),C95*'Cost Assumptions'!E10)))</x:f>
        <x:v>294730.8</x:v>
      </x:c>
      <x:c r="H95" s="16" t="n">
        <x:f>C95*IF(A95&lt;=10,'Cost Assumptions'!B11,IF(A95&lt;=50,'Cost Assumptions'!C11,IF(A95&lt;=100,'Cost Assumptions'!D11,'Cost Assumptions'!E11)))</x:f>
        <x:v>57963.724</x:v>
      </x:c>
      <x:c r="I95" s="16" t="n">
        <x:f>SUM(D95:H95)</x:f>
        <x:v>833594.5240000001</x:v>
      </x:c>
      <x:c r="J95" s="16" t="n">
        <x:f>C95-I95</x:f>
        <x:v>1622495.4759999998</x:v>
      </x:c>
      <x:c r="K95" s="20" t="n">
        <x:f>J95/C95</x:f>
        <x:v>0.6606009861202153</x:v>
      </x:c>
      <x:c r="L95" s="11"/>
      <x:c r="M95" s="11"/>
      <x:c r="N95" s="11"/>
      <x:c r="O95" s="11"/>
      <x:c r="P95" s="11"/>
    </x:row>
    <x:row r="96">
      <x:c r="A96" s="11" t="n">
        <x:v>920</x:v>
      </x:c>
      <x:c r="B96" s="16" t="n">
        <x:f>'Pricing Strategy'!$B$8</x:f>
        <x:v>2699</x:v>
      </x:c>
      <x:c r="C96" s="16" t="n">
        <x:f>A96*B96</x:f>
        <x:v>2483080</x:v>
      </x:c>
      <x:c r="D96" s="16" t="n">
        <x:f>IF(A96&lt;=10,'Cost Assumptions'!B4+'Cost Assumptions'!B5,IF(A96&lt;=50,'Cost Assumptions'!C4+'Cost Assumptions'!C5,IF(A96&lt;=100,'Cost Assumptions'!D4+'Cost Assumptions'!D5,'Cost Assumptions'!E4+'Cost Assumptions'!E5)))</x:f>
        <x:v>35000</x:v>
      </x:c>
      <x:c r="E96" s="16" t="n">
        <x:f>A96*IF(A96&lt;=10,'Cost Assumptions'!B6,IF(A96&lt;=50,'Cost Assumptions'!C6,IF(A96&lt;=100,'Cost Assumptions'!D6,'Cost Assumptions'!E6)))</x:f>
        <x:v>230000</x:v>
      </x:c>
      <x:c r="F96" s="16" t="n">
        <x:f>A96*(IF(A96&lt;=10,'Cost Assumptions'!B7+'Cost Assumptions'!B8,IF(A96&lt;=50,'Cost Assumptions'!C7+'Cost Assumptions'!C8,IF(A96&lt;=100,'Cost Assumptions'!D7+'Cost Assumptions'!D8,'Cost Assumptions'!E7+'Cost Assumptions'!E8))))</x:f>
        <x:v>220800</x:v>
      </x:c>
      <x:c r="G96" s="16" t="n">
        <x:f>IF(A96&lt;=10,'Cost Assumptions'!B9,IF(A96&lt;=50,'Cost Assumptions'!C9,IF(A96&lt;=100,MAX('Cost Assumptions'!D9,C96*'Cost Assumptions'!D10),C96*'Cost Assumptions'!E10)))</x:f>
        <x:v>297969.6</x:v>
      </x:c>
      <x:c r="H96" s="16" t="n">
        <x:f>C96*IF(A96&lt;=10,'Cost Assumptions'!B11,IF(A96&lt;=50,'Cost Assumptions'!C11,IF(A96&lt;=100,'Cost Assumptions'!D11,'Cost Assumptions'!E11)))</x:f>
        <x:v>58600.688</x:v>
      </x:c>
      <x:c r="I96" s="16" t="n">
        <x:f>SUM(D96:H96)</x:f>
        <x:v>842370.288</x:v>
      </x:c>
      <x:c r="J96" s="16" t="n">
        <x:f>C96-I96</x:f>
        <x:v>1640709.712</x:v>
      </x:c>
      <x:c r="K96" s="20" t="n">
        <x:f>J96/C96</x:f>
        <x:v>0.6607558805999002</x:v>
      </x:c>
      <x:c r="L96" s="11"/>
      <x:c r="M96" s="11"/>
      <x:c r="N96" s="11"/>
      <x:c r="O96" s="11"/>
      <x:c r="P96" s="11"/>
    </x:row>
    <x:row r="97">
      <x:c r="A97" s="11" t="n">
        <x:v>930</x:v>
      </x:c>
      <x:c r="B97" s="16" t="n">
        <x:f>'Pricing Strategy'!$B$8</x:f>
        <x:v>2699</x:v>
      </x:c>
      <x:c r="C97" s="16" t="n">
        <x:f>A97*B97</x:f>
        <x:v>2510070</x:v>
      </x:c>
      <x:c r="D97" s="16" t="n">
        <x:f>IF(A97&lt;=10,'Cost Assumptions'!B4+'Cost Assumptions'!B5,IF(A97&lt;=50,'Cost Assumptions'!C4+'Cost Assumptions'!C5,IF(A97&lt;=100,'Cost Assumptions'!D4+'Cost Assumptions'!D5,'Cost Assumptions'!E4+'Cost Assumptions'!E5)))</x:f>
        <x:v>35000</x:v>
      </x:c>
      <x:c r="E97" s="16" t="n">
        <x:f>A97*IF(A97&lt;=10,'Cost Assumptions'!B6,IF(A97&lt;=50,'Cost Assumptions'!C6,IF(A97&lt;=100,'Cost Assumptions'!D6,'Cost Assumptions'!E6)))</x:f>
        <x:v>232500</x:v>
      </x:c>
      <x:c r="F97" s="16" t="n">
        <x:f>A97*(IF(A97&lt;=10,'Cost Assumptions'!B7+'Cost Assumptions'!B8,IF(A97&lt;=50,'Cost Assumptions'!C7+'Cost Assumptions'!C8,IF(A97&lt;=100,'Cost Assumptions'!D7+'Cost Assumptions'!D8,'Cost Assumptions'!E7+'Cost Assumptions'!E8))))</x:f>
        <x:v>223200</x:v>
      </x:c>
      <x:c r="G97" s="16" t="n">
        <x:f>IF(A97&lt;=10,'Cost Assumptions'!B9,IF(A97&lt;=50,'Cost Assumptions'!C9,IF(A97&lt;=100,MAX('Cost Assumptions'!D9,C97*'Cost Assumptions'!D10),C97*'Cost Assumptions'!E10)))</x:f>
        <x:v>301208.39999999997</x:v>
      </x:c>
      <x:c r="H97" s="16" t="n">
        <x:f>C97*IF(A97&lt;=10,'Cost Assumptions'!B11,IF(A97&lt;=50,'Cost Assumptions'!C11,IF(A97&lt;=100,'Cost Assumptions'!D11,'Cost Assumptions'!E11)))</x:f>
        <x:v>59237.652</x:v>
      </x:c>
      <x:c r="I97" s="16" t="n">
        <x:f>SUM(D97:H97)</x:f>
        <x:v>851146.0519999999</x:v>
      </x:c>
      <x:c r="J97" s="16" t="n">
        <x:f>C97-I97</x:f>
        <x:v>1658923.948</x:v>
      </x:c>
      <x:c r="K97" s="20" t="n">
        <x:f>J97/C97</x:f>
        <x:v>0.6609074440155056</x:v>
      </x:c>
      <x:c r="L97" s="11"/>
      <x:c r="M97" s="11"/>
      <x:c r="N97" s="11"/>
      <x:c r="O97" s="11"/>
      <x:c r="P97" s="11"/>
    </x:row>
    <x:row r="98">
      <x:c r="A98" s="11" t="n">
        <x:v>940</x:v>
      </x:c>
      <x:c r="B98" s="16" t="n">
        <x:f>'Pricing Strategy'!$B$8</x:f>
        <x:v>2699</x:v>
      </x:c>
      <x:c r="C98" s="16" t="n">
        <x:f>A98*B98</x:f>
        <x:v>2537060</x:v>
      </x:c>
      <x:c r="D98" s="16" t="n">
        <x:f>IF(A98&lt;=10,'Cost Assumptions'!B4+'Cost Assumptions'!B5,IF(A98&lt;=50,'Cost Assumptions'!C4+'Cost Assumptions'!C5,IF(A98&lt;=100,'Cost Assumptions'!D4+'Cost Assumptions'!D5,'Cost Assumptions'!E4+'Cost Assumptions'!E5)))</x:f>
        <x:v>35000</x:v>
      </x:c>
      <x:c r="E98" s="16" t="n">
        <x:f>A98*IF(A98&lt;=10,'Cost Assumptions'!B6,IF(A98&lt;=50,'Cost Assumptions'!C6,IF(A98&lt;=100,'Cost Assumptions'!D6,'Cost Assumptions'!E6)))</x:f>
        <x:v>235000</x:v>
      </x:c>
      <x:c r="F98" s="16" t="n">
        <x:f>A98*(IF(A98&lt;=10,'Cost Assumptions'!B7+'Cost Assumptions'!B8,IF(A98&lt;=50,'Cost Assumptions'!C7+'Cost Assumptions'!C8,IF(A98&lt;=100,'Cost Assumptions'!D7+'Cost Assumptions'!D8,'Cost Assumptions'!E7+'Cost Assumptions'!E8))))</x:f>
        <x:v>225600</x:v>
      </x:c>
      <x:c r="G98" s="16" t="n">
        <x:f>IF(A98&lt;=10,'Cost Assumptions'!B9,IF(A98&lt;=50,'Cost Assumptions'!C9,IF(A98&lt;=100,MAX('Cost Assumptions'!D9,C98*'Cost Assumptions'!D10),C98*'Cost Assumptions'!E10)))</x:f>
        <x:v>304447.2</x:v>
      </x:c>
      <x:c r="H98" s="16" t="n">
        <x:f>C98*IF(A98&lt;=10,'Cost Assumptions'!B11,IF(A98&lt;=50,'Cost Assumptions'!C11,IF(A98&lt;=100,'Cost Assumptions'!D11,'Cost Assumptions'!E11)))</x:f>
        <x:v>59874.616</x:v>
      </x:c>
      <x:c r="I98" s="16" t="n">
        <x:f>SUM(D98:H98)</x:f>
        <x:v>859921.816</x:v>
      </x:c>
      <x:c r="J98" s="16" t="n">
        <x:f>C98-I98</x:f>
        <x:v>1677138.184</x:v>
      </x:c>
      <x:c r="K98" s="20" t="n">
        <x:f>J98/C98</x:f>
        <x:v>0.6610557826775874</x:v>
      </x:c>
      <x:c r="L98" s="11"/>
      <x:c r="M98" s="11"/>
      <x:c r="N98" s="11"/>
      <x:c r="O98" s="11"/>
      <x:c r="P98" s="11"/>
    </x:row>
    <x:row r="99">
      <x:c r="A99" s="11" t="n">
        <x:v>950</x:v>
      </x:c>
      <x:c r="B99" s="16" t="n">
        <x:f>'Pricing Strategy'!$B$8</x:f>
        <x:v>2699</x:v>
      </x:c>
      <x:c r="C99" s="16" t="n">
        <x:f>A99*B99</x:f>
        <x:v>2564050</x:v>
      </x:c>
      <x:c r="D99" s="16" t="n">
        <x:f>IF(A99&lt;=10,'Cost Assumptions'!B4+'Cost Assumptions'!B5,IF(A99&lt;=50,'Cost Assumptions'!C4+'Cost Assumptions'!C5,IF(A99&lt;=100,'Cost Assumptions'!D4+'Cost Assumptions'!D5,'Cost Assumptions'!E4+'Cost Assumptions'!E5)))</x:f>
        <x:v>35000</x:v>
      </x:c>
      <x:c r="E99" s="16" t="n">
        <x:f>A99*IF(A99&lt;=10,'Cost Assumptions'!B6,IF(A99&lt;=50,'Cost Assumptions'!C6,IF(A99&lt;=100,'Cost Assumptions'!D6,'Cost Assumptions'!E6)))</x:f>
        <x:v>237500</x:v>
      </x:c>
      <x:c r="F99" s="16" t="n">
        <x:f>A99*(IF(A99&lt;=10,'Cost Assumptions'!B7+'Cost Assumptions'!B8,IF(A99&lt;=50,'Cost Assumptions'!C7+'Cost Assumptions'!C8,IF(A99&lt;=100,'Cost Assumptions'!D7+'Cost Assumptions'!D8,'Cost Assumptions'!E7+'Cost Assumptions'!E8))))</x:f>
        <x:v>228000</x:v>
      </x:c>
      <x:c r="G99" s="16" t="n">
        <x:f>IF(A99&lt;=10,'Cost Assumptions'!B9,IF(A99&lt;=50,'Cost Assumptions'!C9,IF(A99&lt;=100,MAX('Cost Assumptions'!D9,C99*'Cost Assumptions'!D10),C99*'Cost Assumptions'!E10)))</x:f>
        <x:v>307686</x:v>
      </x:c>
      <x:c r="H99" s="16" t="n">
        <x:f>C99*IF(A99&lt;=10,'Cost Assumptions'!B11,IF(A99&lt;=50,'Cost Assumptions'!C11,IF(A99&lt;=100,'Cost Assumptions'!D11,'Cost Assumptions'!E11)))</x:f>
        <x:v>60511.58</x:v>
      </x:c>
      <x:c r="I99" s="16" t="n">
        <x:f>SUM(D99:H99)</x:f>
        <x:v>868697.58</x:v>
      </x:c>
      <x:c r="J99" s="16" t="n">
        <x:f>C99-I99</x:f>
        <x:v>1695352.42</x:v>
      </x:c>
      <x:c r="K99" s="20" t="n">
        <x:f>J99/C99</x:f>
        <x:v>0.6612009984204676</x:v>
      </x:c>
      <x:c r="L99" s="11"/>
      <x:c r="M99" s="11"/>
      <x:c r="N99" s="11"/>
      <x:c r="O99" s="11"/>
      <x:c r="P99" s="11"/>
    </x:row>
    <x:row r="100">
      <x:c r="A100" s="11" t="n">
        <x:v>960</x:v>
      </x:c>
      <x:c r="B100" s="16" t="n">
        <x:f>'Pricing Strategy'!$B$8</x:f>
        <x:v>2699</x:v>
      </x:c>
      <x:c r="C100" s="16" t="n">
        <x:f>A100*B100</x:f>
        <x:v>2591040</x:v>
      </x:c>
      <x:c r="D100" s="16" t="n">
        <x:f>IF(A100&lt;=10,'Cost Assumptions'!B4+'Cost Assumptions'!B5,IF(A100&lt;=50,'Cost Assumptions'!C4+'Cost Assumptions'!C5,IF(A100&lt;=100,'Cost Assumptions'!D4+'Cost Assumptions'!D5,'Cost Assumptions'!E4+'Cost Assumptions'!E5)))</x:f>
        <x:v>35000</x:v>
      </x:c>
      <x:c r="E100" s="16" t="n">
        <x:f>A100*IF(A100&lt;=10,'Cost Assumptions'!B6,IF(A100&lt;=50,'Cost Assumptions'!C6,IF(A100&lt;=100,'Cost Assumptions'!D6,'Cost Assumptions'!E6)))</x:f>
        <x:v>240000</x:v>
      </x:c>
      <x:c r="F100" s="16" t="n">
        <x:f>A100*(IF(A100&lt;=10,'Cost Assumptions'!B7+'Cost Assumptions'!B8,IF(A100&lt;=50,'Cost Assumptions'!C7+'Cost Assumptions'!C8,IF(A100&lt;=100,'Cost Assumptions'!D7+'Cost Assumptions'!D8,'Cost Assumptions'!E7+'Cost Assumptions'!E8))))</x:f>
        <x:v>230400</x:v>
      </x:c>
      <x:c r="G100" s="16" t="n">
        <x:f>IF(A100&lt;=10,'Cost Assumptions'!B9,IF(A100&lt;=50,'Cost Assumptions'!C9,IF(A100&lt;=100,MAX('Cost Assumptions'!D9,C100*'Cost Assumptions'!D10),C100*'Cost Assumptions'!E10)))</x:f>
        <x:v>310924.8</x:v>
      </x:c>
      <x:c r="H100" s="16" t="n">
        <x:f>C100*IF(A100&lt;=10,'Cost Assumptions'!B11,IF(A100&lt;=50,'Cost Assumptions'!C11,IF(A100&lt;=100,'Cost Assumptions'!D11,'Cost Assumptions'!E11)))</x:f>
        <x:v>61148.544</x:v>
      </x:c>
      <x:c r="I100" s="16" t="n">
        <x:f>SUM(D100:H100)</x:f>
        <x:v>877473.344</x:v>
      </x:c>
      <x:c r="J100" s="16" t="n">
        <x:f>C100-I100</x:f>
        <x:v>1713566.656</x:v>
      </x:c>
      <x:c r="K100" s="20" t="n">
        <x:f>J100/C100</x:f>
        <x:v>0.6613431888353711</x:v>
      </x:c>
      <x:c r="L100" s="11"/>
      <x:c r="M100" s="11"/>
      <x:c r="N100" s="11"/>
      <x:c r="O100" s="11"/>
      <x:c r="P100" s="11"/>
    </x:row>
    <x:row r="101">
      <x:c r="A101" s="11" t="n">
        <x:v>970</x:v>
      </x:c>
      <x:c r="B101" s="16" t="n">
        <x:f>'Pricing Strategy'!$B$8</x:f>
        <x:v>2699</x:v>
      </x:c>
      <x:c r="C101" s="16" t="n">
        <x:f>A101*B101</x:f>
        <x:v>2618030</x:v>
      </x:c>
      <x:c r="D101" s="16" t="n">
        <x:f>IF(A101&lt;=10,'Cost Assumptions'!B4+'Cost Assumptions'!B5,IF(A101&lt;=50,'Cost Assumptions'!C4+'Cost Assumptions'!C5,IF(A101&lt;=100,'Cost Assumptions'!D4+'Cost Assumptions'!D5,'Cost Assumptions'!E4+'Cost Assumptions'!E5)))</x:f>
        <x:v>35000</x:v>
      </x:c>
      <x:c r="E101" s="16" t="n">
        <x:f>A101*IF(A101&lt;=10,'Cost Assumptions'!B6,IF(A101&lt;=50,'Cost Assumptions'!C6,IF(A101&lt;=100,'Cost Assumptions'!D6,'Cost Assumptions'!E6)))</x:f>
        <x:v>242500</x:v>
      </x:c>
      <x:c r="F101" s="16" t="n">
        <x:f>A101*(IF(A101&lt;=10,'Cost Assumptions'!B7+'Cost Assumptions'!B8,IF(A101&lt;=50,'Cost Assumptions'!C7+'Cost Assumptions'!C8,IF(A101&lt;=100,'Cost Assumptions'!D7+'Cost Assumptions'!D8,'Cost Assumptions'!E7+'Cost Assumptions'!E8))))</x:f>
        <x:v>232800</x:v>
      </x:c>
      <x:c r="G101" s="16" t="n">
        <x:f>IF(A101&lt;=10,'Cost Assumptions'!B9,IF(A101&lt;=50,'Cost Assumptions'!C9,IF(A101&lt;=100,MAX('Cost Assumptions'!D9,C101*'Cost Assumptions'!D10),C101*'Cost Assumptions'!E10)))</x:f>
        <x:v>314163.6</x:v>
      </x:c>
      <x:c r="H101" s="16" t="n">
        <x:f>C101*IF(A101&lt;=10,'Cost Assumptions'!B11,IF(A101&lt;=50,'Cost Assumptions'!C11,IF(A101&lt;=100,'Cost Assumptions'!D11,'Cost Assumptions'!E11)))</x:f>
        <x:v>61785.508</x:v>
      </x:c>
      <x:c r="I101" s="16" t="n">
        <x:f>SUM(D101:H101)</x:f>
        <x:v>886249.108</x:v>
      </x:c>
      <x:c r="J101" s="16" t="n">
        <x:f>C101-I101</x:f>
        <x:v>1731780.892</x:v>
      </x:c>
      <x:c r="K101" s="20" t="n">
        <x:f>J101/C101</x:f>
        <x:v>0.6614824474891426</x:v>
      </x:c>
      <x:c r="L101" s="11"/>
      <x:c r="M101" s="11"/>
      <x:c r="N101" s="11"/>
      <x:c r="O101" s="11"/>
      <x:c r="P101" s="11"/>
    </x:row>
    <x:row r="102">
      <x:c r="A102" s="11" t="n">
        <x:v>980</x:v>
      </x:c>
      <x:c r="B102" s="16" t="n">
        <x:f>'Pricing Strategy'!$B$8</x:f>
        <x:v>2699</x:v>
      </x:c>
      <x:c r="C102" s="16" t="n">
        <x:f>A102*B102</x:f>
        <x:v>2645020</x:v>
      </x:c>
      <x:c r="D102" s="16" t="n">
        <x:f>IF(A102&lt;=10,'Cost Assumptions'!B4+'Cost Assumptions'!B5,IF(A102&lt;=50,'Cost Assumptions'!C4+'Cost Assumptions'!C5,IF(A102&lt;=100,'Cost Assumptions'!D4+'Cost Assumptions'!D5,'Cost Assumptions'!E4+'Cost Assumptions'!E5)))</x:f>
        <x:v>35000</x:v>
      </x:c>
      <x:c r="E102" s="16" t="n">
        <x:f>A102*IF(A102&lt;=10,'Cost Assumptions'!B6,IF(A102&lt;=50,'Cost Assumptions'!C6,IF(A102&lt;=100,'Cost Assumptions'!D6,'Cost Assumptions'!E6)))</x:f>
        <x:v>245000</x:v>
      </x:c>
      <x:c r="F102" s="16" t="n">
        <x:f>A102*(IF(A102&lt;=10,'Cost Assumptions'!B7+'Cost Assumptions'!B8,IF(A102&lt;=50,'Cost Assumptions'!C7+'Cost Assumptions'!C8,IF(A102&lt;=100,'Cost Assumptions'!D7+'Cost Assumptions'!D8,'Cost Assumptions'!E7+'Cost Assumptions'!E8))))</x:f>
        <x:v>235200</x:v>
      </x:c>
      <x:c r="G102" s="16" t="n">
        <x:f>IF(A102&lt;=10,'Cost Assumptions'!B9,IF(A102&lt;=50,'Cost Assumptions'!C9,IF(A102&lt;=100,MAX('Cost Assumptions'!D9,C102*'Cost Assumptions'!D10),C102*'Cost Assumptions'!E10)))</x:f>
        <x:v>317402.39999999997</x:v>
      </x:c>
      <x:c r="H102" s="16" t="n">
        <x:f>C102*IF(A102&lt;=10,'Cost Assumptions'!B11,IF(A102&lt;=50,'Cost Assumptions'!C11,IF(A102&lt;=100,'Cost Assumptions'!D11,'Cost Assumptions'!E11)))</x:f>
        <x:v>62422.472</x:v>
      </x:c>
      <x:c r="I102" s="16" t="n">
        <x:f>SUM(D102:H102)</x:f>
        <x:v>895024.8719999999</x:v>
      </x:c>
      <x:c r="J102" s="16" t="n">
        <x:f>C102-I102</x:f>
        <x:v>1749995.128</x:v>
      </x:c>
      <x:c r="K102" s="20" t="n">
        <x:f>J102/C102</x:f>
        <x:v>0.6616188641295718</x:v>
      </x:c>
      <x:c r="L102" s="11"/>
      <x:c r="M102" s="11"/>
      <x:c r="N102" s="11"/>
      <x:c r="O102" s="11"/>
      <x:c r="P102" s="11"/>
    </x:row>
    <x:row r="103">
      <x:c r="A103" s="11" t="n">
        <x:v>990</x:v>
      </x:c>
      <x:c r="B103" s="16" t="n">
        <x:f>'Pricing Strategy'!$B$8</x:f>
        <x:v>2699</x:v>
      </x:c>
      <x:c r="C103" s="16" t="n">
        <x:f>A103*B103</x:f>
        <x:v>2672010</x:v>
      </x:c>
      <x:c r="D103" s="16" t="n">
        <x:f>IF(A103&lt;=10,'Cost Assumptions'!B4+'Cost Assumptions'!B5,IF(A103&lt;=50,'Cost Assumptions'!C4+'Cost Assumptions'!C5,IF(A103&lt;=100,'Cost Assumptions'!D4+'Cost Assumptions'!D5,'Cost Assumptions'!E4+'Cost Assumptions'!E5)))</x:f>
        <x:v>35000</x:v>
      </x:c>
      <x:c r="E103" s="16" t="n">
        <x:f>A103*IF(A103&lt;=10,'Cost Assumptions'!B6,IF(A103&lt;=50,'Cost Assumptions'!C6,IF(A103&lt;=100,'Cost Assumptions'!D6,'Cost Assumptions'!E6)))</x:f>
        <x:v>247500</x:v>
      </x:c>
      <x:c r="F103" s="16" t="n">
        <x:f>A103*(IF(A103&lt;=10,'Cost Assumptions'!B7+'Cost Assumptions'!B8,IF(A103&lt;=50,'Cost Assumptions'!C7+'Cost Assumptions'!C8,IF(A103&lt;=100,'Cost Assumptions'!D7+'Cost Assumptions'!D8,'Cost Assumptions'!E7+'Cost Assumptions'!E8))))</x:f>
        <x:v>237600</x:v>
      </x:c>
      <x:c r="G103" s="16" t="n">
        <x:f>IF(A103&lt;=10,'Cost Assumptions'!B9,IF(A103&lt;=50,'Cost Assumptions'!C9,IF(A103&lt;=100,MAX('Cost Assumptions'!D9,C103*'Cost Assumptions'!D10),C103*'Cost Assumptions'!E10)))</x:f>
        <x:v>320641.2</x:v>
      </x:c>
      <x:c r="H103" s="16" t="n">
        <x:f>C103*IF(A103&lt;=10,'Cost Assumptions'!B11,IF(A103&lt;=50,'Cost Assumptions'!C11,IF(A103&lt;=100,'Cost Assumptions'!D11,'Cost Assumptions'!E11)))</x:f>
        <x:v>63059.436</x:v>
      </x:c>
      <x:c r="I103" s="16" t="n">
        <x:f>SUM(D103:H103)</x:f>
        <x:v>903800.6359999999</x:v>
      </x:c>
      <x:c r="J103" s="16" t="n">
        <x:f>C103-I103</x:f>
        <x:v>1768209.364</x:v>
      </x:c>
      <x:c r="K103" s="20" t="n">
        <x:f>J103/C103</x:f>
        <x:v>0.6617525248782752</x:v>
      </x:c>
      <x:c r="L103" s="11"/>
      <x:c r="M103" s="11"/>
      <x:c r="N103" s="11"/>
      <x:c r="O103" s="11"/>
      <x:c r="P103" s="11"/>
    </x:row>
    <x:row r="104">
      <x:c r="A104" s="11" t="n">
        <x:v>1000</x:v>
      </x:c>
      <x:c r="B104" s="16" t="n">
        <x:f>'Pricing Strategy'!$B$8</x:f>
        <x:v>2699</x:v>
      </x:c>
      <x:c r="C104" s="16" t="n">
        <x:f>A104*B104</x:f>
        <x:v>2699000</x:v>
      </x:c>
      <x:c r="D104" s="16" t="n">
        <x:f>IF(A104&lt;=10,'Cost Assumptions'!B4+'Cost Assumptions'!B5,IF(A104&lt;=50,'Cost Assumptions'!C4+'Cost Assumptions'!C5,IF(A104&lt;=100,'Cost Assumptions'!D4+'Cost Assumptions'!D5,'Cost Assumptions'!E4+'Cost Assumptions'!E5)))</x:f>
        <x:v>35000</x:v>
      </x:c>
      <x:c r="E104" s="16" t="n">
        <x:f>A104*IF(A104&lt;=10,'Cost Assumptions'!B6,IF(A104&lt;=50,'Cost Assumptions'!C6,IF(A104&lt;=100,'Cost Assumptions'!D6,'Cost Assumptions'!E6)))</x:f>
        <x:v>250000</x:v>
      </x:c>
      <x:c r="F104" s="16" t="n">
        <x:f>A104*(IF(A104&lt;=10,'Cost Assumptions'!B7+'Cost Assumptions'!B8,IF(A104&lt;=50,'Cost Assumptions'!C7+'Cost Assumptions'!C8,IF(A104&lt;=100,'Cost Assumptions'!D7+'Cost Assumptions'!D8,'Cost Assumptions'!E7+'Cost Assumptions'!E8))))</x:f>
        <x:v>240000</x:v>
      </x:c>
      <x:c r="G104" s="16" t="n">
        <x:f>IF(A104&lt;=10,'Cost Assumptions'!B9,IF(A104&lt;=50,'Cost Assumptions'!C9,IF(A104&lt;=100,MAX('Cost Assumptions'!D9,C104*'Cost Assumptions'!D10),C104*'Cost Assumptions'!E10)))</x:f>
        <x:v>323880</x:v>
      </x:c>
      <x:c r="H104" s="16" t="n">
        <x:f>C104*IF(A104&lt;=10,'Cost Assumptions'!B11,IF(A104&lt;=50,'Cost Assumptions'!C11,IF(A104&lt;=100,'Cost Assumptions'!D11,'Cost Assumptions'!E11)))</x:f>
        <x:v>63696.4</x:v>
      </x:c>
      <x:c r="I104" s="16" t="n">
        <x:f>SUM(D104:H104)</x:f>
        <x:v>912576.4</x:v>
      </x:c>
      <x:c r="J104" s="16" t="n">
        <x:f>C104-I104</x:f>
        <x:v>1786423.6</x:v>
      </x:c>
      <x:c r="K104" s="20" t="n">
        <x:f>J104/C104</x:f>
        <x:v>0.6618835124120045</x:v>
      </x:c>
      <x:c r="L104" s="11"/>
      <x:c r="M104" s="11"/>
      <x:c r="N104" s="11"/>
      <x:c r="O104" s="11"/>
      <x:c r="P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</x:row>
  </x:sheetData>
  <x:mergeCells>
    <x:mergeCell ref="A1:K1"/>
  </x:mergeCells>
  <x:conditionalFormatting sqref="J4:J104">
    <x:cfRule type="expression" dxfId="0" priority="1">
      <x:formula>J4&lt;0</x:formula>
    </x:cfRule>
    <x:cfRule type="expression" dxfId="1" priority="2">
      <x:formula>J4&gt;0</x:formula>
    </x:cfRule>
  </x:conditionalFormatting>
  <x:pageMargins left="0.7" right="0.7" top="0.75" bottom="0.75" header="0.3" footer="0.3"/>
  <x:drawing xmlns:r="http://schemas.openxmlformats.org/officeDocument/2006/relationships" r:id="R60c555ff417642bf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48" hidden="0" customWidth="1"/>
    <x:col min="5" max="5" width="45" hidden="0" customWidth="1"/>
    <x:col min="6" max="6" width="34" hidden="0" customWidth="1"/>
  </x:cols>
  <x:sheetData>
    <x:row r="1">
      <x:c r="A1" s="10" t="str">
        <x:v>Aggressive Pricing Strategy — India-first SEO + Ads SaaS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  <x:c r="M1" s="11"/>
      <x:c r="N1" s="11"/>
      <x:c r="O1" s="11"/>
      <x:c r="P1" s="11"/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</x:row>
    <x:row r="3">
      <x:c r="A3" s="12" t="str">
        <x:v>Plan</x:v>
      </x:c>
      <x:c r="B3" s="12" t="str">
        <x:v>Price / mo</x:v>
      </x:c>
      <x:c r="C3" s="12" t="str">
        <x:v>Expected Mix</x:v>
      </x:c>
      <x:c r="D3" s="12" t="str">
        <x:v>Suggested limits</x:v>
      </x:c>
      <x:c r="E3" s="12" t="str">
        <x:v>Why it can win</x:v>
      </x:c>
      <x:c r="F3" s="12" t="str">
        <x:v>Competitor anchor</x:v>
      </x:c>
      <x:c r="G3" s="11"/>
      <x:c r="H3" s="11"/>
      <x:c r="I3" s="11"/>
      <x:c r="J3" s="11"/>
      <x:c r="K3" s="11"/>
      <x:c r="L3" s="11"/>
      <x:c r="M3" s="11"/>
      <x:c r="N3" s="11"/>
      <x:c r="O3" s="11"/>
      <x:c r="P3" s="11"/>
    </x:row>
    <x:row r="4">
      <x:c r="A4" s="11" t="str">
        <x:v>Solo</x:v>
      </x:c>
      <x:c r="B4" s="16" t="n">
        <x:v>1499</x:v>
      </x:c>
      <x:c r="C4" s="18" t="n">
        <x:v>0.5</x:v>
      </x:c>
      <x:c r="D4" s="11" t="str">
        <x:v>3 sites, 300 tracked keywords, 10k audit pages/mo, 1 ad account</x:v>
      </x:c>
      <x:c r="E4" s="11" t="str">
        <x:v>Low enough for freelancers/SMBs; still leaves room for data cost</x:v>
      </x:c>
      <x:c r="F4" s="11" t="str">
        <x:v>Semrush SEO $139/mo</x:v>
      </x:c>
      <x:c r="G4" s="11"/>
      <x:c r="H4" s="11"/>
      <x:c r="I4" s="11"/>
      <x:c r="J4" s="11"/>
      <x:c r="K4" s="11"/>
      <x:c r="L4" s="11"/>
      <x:c r="M4" s="11"/>
      <x:c r="N4" s="11"/>
      <x:c r="O4" s="11"/>
      <x:c r="P4" s="11"/>
    </x:row>
    <x:row r="5">
      <x:c r="A5" s="11" t="str">
        <x:v>Pro</x:v>
      </x:c>
      <x:c r="B5" s="16" t="n">
        <x:v>2999</x:v>
      </x:c>
      <x:c r="C5" s="18" t="n">
        <x:v>0.35</x:v>
      </x:c>
      <x:c r="D5" s="11" t="str">
        <x:v>10 sites, 1,500 keywords, 50k audit pages/mo, 5 ad accounts</x:v>
      </x:c>
      <x:c r="E5" s="11" t="str">
        <x:v>Core value plan: SEO + ads in one dashboard</x:v>
      </x:c>
      <x:c r="F5" s="11" t="str">
        <x:v>Semrush SEO $249/mo / Ads $99/mo</x:v>
      </x:c>
      <x:c r="G5" s="11"/>
      <x:c r="H5" s="11"/>
      <x:c r="I5" s="11"/>
      <x:c r="J5" s="11"/>
      <x:c r="K5" s="11"/>
      <x:c r="L5" s="11"/>
      <x:c r="M5" s="11"/>
      <x:c r="N5" s="11"/>
      <x:c r="O5" s="11"/>
      <x:c r="P5" s="11"/>
    </x:row>
    <x:row r="6">
      <x:c r="A6" s="11" t="str">
        <x:v>Agency</x:v>
      </x:c>
      <x:c r="B6" s="16" t="n">
        <x:v>5999</x:v>
      </x:c>
      <x:c r="C6" s="18" t="n">
        <x:v>0.15</x:v>
      </x:c>
      <x:c r="D6" s="11" t="str">
        <x:v>30 sites, 5,000 keywords, 200k audit pages/mo, 20 ad accounts</x:v>
      </x:c>
      <x:c r="E6" s="11" t="str">
        <x:v>Agency-focused without trying to promise unlimited expensive data</x:v>
      </x:c>
      <x:c r="F6" s="11" t="str">
        <x:v>Semrush Business $499/mo; Metricool Advanced $67+/mo</x:v>
      </x:c>
      <x:c r="G6" s="11"/>
      <x:c r="H6" s="11"/>
      <x:c r="I6" s="11"/>
      <x:c r="J6" s="11"/>
      <x:c r="K6" s="11"/>
      <x:c r="L6" s="11"/>
      <x:c r="M6" s="11"/>
      <x:c r="N6" s="11"/>
      <x:c r="O6" s="11"/>
      <x:c r="P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</x:row>
    <x:row r="8">
      <x:c r="A8" s="11" t="str">
        <x:v>Weighted ARPU</x:v>
      </x:c>
      <x:c r="B8" s="16" t="n">
        <x:f>SUMPRODUCT(B4:B6,C4:C6)</x:f>
        <x:v>2699</x:v>
      </x:c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48" hidden="0" customWidth="1"/>
  </x:cols>
  <x:sheetData>
    <x:row r="1">
      <x:c r="A1" s="10" t="str">
        <x:v>Monthly Cost Assumptions — Includes Ads From Day 1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  <x:c r="M1" s="11"/>
      <x:c r="N1" s="11"/>
      <x:c r="O1" s="11"/>
      <x:c r="P1" s="11"/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</x:row>
    <x:row r="3">
      <x:c r="A3" s="12" t="str">
        <x:v>Cost item</x:v>
      </x:c>
      <x:c r="B3" s="12" t="str">
        <x:v>1-10</x:v>
      </x:c>
      <x:c r="C3" s="12" t="str">
        <x:v>11-50</x:v>
      </x:c>
      <x:c r="D3" s="12" t="str">
        <x:v>51-100</x:v>
      </x:c>
      <x:c r="E3" s="12" t="str">
        <x:v>101-1000</x:v>
      </x:c>
      <x:c r="F3" s="12" t="str">
        <x:v>Notes</x:v>
      </x:c>
      <x:c r="G3" s="11"/>
      <x:c r="H3" s="11"/>
      <x:c r="I3" s="11"/>
      <x:c r="J3" s="11"/>
      <x:c r="K3" s="11"/>
      <x:c r="L3" s="11"/>
      <x:c r="M3" s="11"/>
      <x:c r="N3" s="11"/>
      <x:c r="O3" s="11"/>
      <x:c r="P3" s="11"/>
    </x:row>
    <x:row r="4">
      <x:c r="A4" s="11" t="str">
        <x:v>Base infra / Railway + DB + Redis</x:v>
      </x:c>
      <x:c r="B4" s="16" t="n">
        <x:v>3500</x:v>
      </x:c>
      <x:c r="C4" s="16" t="n">
        <x:v>6000</x:v>
      </x:c>
      <x:c r="D4" s="16" t="n">
        <x:v>10000</x:v>
      </x:c>
      <x:c r="E4" s="16" t="n">
        <x:v>25000</x:v>
      </x:c>
      <x:c r="F4" s="11" t="str">
        <x:v>Planning budget, not Railway fixed quote</x:v>
      </x:c>
      <x:c r="G4" s="11"/>
      <x:c r="H4" s="11"/>
      <x:c r="I4" s="11"/>
      <x:c r="J4" s="11"/>
      <x:c r="K4" s="11"/>
      <x:c r="L4" s="11"/>
      <x:c r="M4" s="11"/>
      <x:c r="N4" s="11"/>
      <x:c r="O4" s="11"/>
      <x:c r="P4" s="11"/>
    </x:row>
    <x:row r="5">
      <x:c r="A5" s="11" t="str">
        <x:v>Monitoring/email/misc tools</x:v>
      </x:c>
      <x:c r="B5" s="16" t="n">
        <x:v>1500</x:v>
      </x:c>
      <x:c r="C5" s="16" t="n">
        <x:v>2500</x:v>
      </x:c>
      <x:c r="D5" s="16" t="n">
        <x:v>4000</x:v>
      </x:c>
      <x:c r="E5" s="16" t="n">
        <x:v>10000</x:v>
      </x:c>
      <x:c r="F5" s="11" t="str">
        <x:v>Logging, transactional email, misc SaaS</x:v>
      </x:c>
      <x:c r="G5" s="11"/>
      <x:c r="H5" s="11"/>
      <x:c r="I5" s="11"/>
      <x:c r="J5" s="11"/>
      <x:c r="K5" s="11"/>
      <x:c r="L5" s="11"/>
      <x:c r="M5" s="11"/>
      <x:c r="N5" s="11"/>
      <x:c r="O5" s="11"/>
      <x:c r="P5" s="11"/>
    </x:row>
    <x:row r="6">
      <x:c r="A6" s="11" t="str">
        <x:v>SEO/API data per customer</x:v>
      </x:c>
      <x:c r="B6" s="16" t="n">
        <x:v>180</x:v>
      </x:c>
      <x:c r="C6" s="16" t="n">
        <x:v>180</x:v>
      </x:c>
      <x:c r="D6" s="16" t="n">
        <x:v>200</x:v>
      </x:c>
      <x:c r="E6" s="16" t="n">
        <x:v>250</x:v>
      </x:c>
      <x:c r="F6" s="11" t="str">
        <x:v>Quota-based blended planning allowance</x:v>
      </x:c>
      <x:c r="G6" s="11"/>
      <x:c r="H6" s="11"/>
      <x:c r="I6" s="11"/>
      <x:c r="J6" s="11"/>
      <x:c r="K6" s="11"/>
      <x:c r="L6" s="11"/>
      <x:c r="M6" s="11"/>
      <x:c r="N6" s="11"/>
      <x:c r="O6" s="11"/>
      <x:c r="P6" s="11"/>
    </x:row>
    <x:row r="7">
      <x:c r="A7" s="11" t="str">
        <x:v>Infra variable per customer</x:v>
      </x:c>
      <x:c r="B7" s="16" t="n">
        <x:v>70</x:v>
      </x:c>
      <x:c r="C7" s="16" t="n">
        <x:v>80</x:v>
      </x:c>
      <x:c r="D7" s="16" t="n">
        <x:v>90</x:v>
      </x:c>
      <x:c r="E7" s="16" t="n">
        <x:v>120</x:v>
      </x:c>
      <x:c r="F7" s="11" t="str">
        <x:v>Worker/network/storage allocation</x:v>
      </x:c>
      <x:c r="G7" s="11"/>
      <x:c r="H7" s="11"/>
      <x:c r="I7" s="11"/>
      <x:c r="J7" s="11"/>
      <x:c r="K7" s="11"/>
      <x:c r="L7" s="11"/>
      <x:c r="M7" s="11"/>
      <x:c r="N7" s="11"/>
      <x:c r="O7" s="11"/>
      <x:c r="P7" s="11"/>
    </x:row>
    <x:row r="8">
      <x:c r="A8" s="11" t="str">
        <x:v>Support/ops per customer</x:v>
      </x:c>
      <x:c r="B8" s="16" t="n">
        <x:v>50</x:v>
      </x:c>
      <x:c r="C8" s="16" t="n">
        <x:v>60</x:v>
      </x:c>
      <x:c r="D8" s="16" t="n">
        <x:v>80</x:v>
      </x:c>
      <x:c r="E8" s="16" t="n">
        <x:v>120</x:v>
      </x:c>
      <x:c r="F8" s="11" t="str">
        <x:v>Software/support allowance; no hired staff salary</x:v>
      </x:c>
      <x:c r="G8" s="11"/>
      <x:c r="H8" s="11"/>
      <x:c r="I8" s="11"/>
      <x:c r="J8" s="11"/>
      <x:c r="K8" s="11"/>
      <x:c r="L8" s="11"/>
      <x:c r="M8" s="11"/>
      <x:c r="N8" s="11"/>
      <x:c r="O8" s="11"/>
      <x:c r="P8" s="11"/>
    </x:row>
    <x:row r="9">
      <x:c r="A9" s="11" t="str">
        <x:v>Ads/marketing fixed budget</x:v>
      </x:c>
      <x:c r="B9" s="16" t="n">
        <x:v>10000</x:v>
      </x:c>
      <x:c r="C9" s="16" t="n">
        <x:v>20000</x:v>
      </x:c>
      <x:c r="D9" s="16" t="n">
        <x:v>40000</x:v>
      </x:c>
      <x:c r="E9" s="16" t="n">
        <x:v>0</x:v>
      </x:c>
      <x:c r="F9" s="11" t="str">
        <x:v>Front-loaded acquisition spend</x:v>
      </x:c>
      <x:c r="G9" s="11"/>
      <x:c r="H9" s="11"/>
      <x:c r="I9" s="11"/>
      <x:c r="J9" s="11"/>
      <x:c r="K9" s="11"/>
      <x:c r="L9" s="11"/>
      <x:c r="M9" s="11"/>
      <x:c r="N9" s="11"/>
      <x:c r="O9" s="11"/>
      <x:c r="P9" s="11"/>
    </x:row>
    <x:row r="10">
      <x:c r="A10" s="11" t="str">
        <x:v>Marketing % of MRR</x:v>
      </x:c>
      <x:c r="B10" s="20" t="n">
        <x:v>0</x:v>
      </x:c>
      <x:c r="C10" s="20" t="n">
        <x:v>0</x:v>
      </x:c>
      <x:c r="D10" s="20" t="n">
        <x:v>0.08</x:v>
      </x:c>
      <x:c r="E10" s="20" t="n">
        <x:v>0.12</x:v>
      </x:c>
      <x:c r="F10" s="11" t="str">
        <x:v>At scale, marketing becomes revenue-linked</x:v>
      </x:c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</x:row>
    <x:row r="11">
      <x:c r="A11" s="11" t="str">
        <x:v>Payment gateway %</x:v>
      </x:c>
      <x:c r="B11" s="20" t="n">
        <x:v>0.0236</x:v>
      </x:c>
      <x:c r="C11" s="20" t="n">
        <x:v>0.0236</x:v>
      </x:c>
      <x:c r="D11" s="20" t="n">
        <x:v>0.0236</x:v>
      </x:c>
      <x:c r="E11" s="20" t="n">
        <x:v>0.0236</x:v>
      </x:c>
      <x:c r="F11" s="11" t="str">
        <x:v>Razorpay 2% + GST</x:v>
      </x:c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</x:row>
    <x:row r="12">
      <x:c r="A12" s="11" t="str">
        <x:v>Founder/development salary</x:v>
      </x:c>
      <x:c r="B12" s="11" t="n">
        <x:v>0</x:v>
      </x:c>
      <x:c r="C12" s="11" t="n">
        <x:v>0</x:v>
      </x:c>
      <x:c r="D12" s="11" t="n">
        <x:v>0</x:v>
      </x:c>
      <x:c r="E12" s="11" t="n">
        <x:v>0</x:v>
      </x:c>
      <x:c r="F12" s="11" t="str">
        <x:v>Excluded per request</x:v>
      </x:c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</x:row>
    <x:row r="14">
      <x:c r="A14" s="11" t="str">
        <x:v>Interpretation</x:v>
      </x:c>
      <x:c r="B14" s="11" t="str"/>
      <x:c r="C14" s="11" t="str"/>
      <x:c r="D14" s="11" t="str"/>
      <x:c r="E14" s="11" t="str"/>
      <x:c r="F14" s="11" t="str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</x:row>
    <x:row r="15">
      <x:c r="A15" s="11" t="str">
        <x:v>Base case is deliberately not '₹5 hosting only'.</x:v>
      </x:c>
      <x:c r="B15" s="11" t="str"/>
      <x:c r="C15" s="11" t="str"/>
      <x:c r="D15" s="11" t="str"/>
      <x:c r="E15" s="11" t="str"/>
      <x:c r="F15" s="11" t="str">
        <x:v>Includes paid ads, APIs, gateway and production infra allowances.</x:v>
      </x:c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</x:row>
    <x:row r="16">
      <x:c r="A16" s="11" t="str">
        <x:v>Employee salaries are excluded.</x:v>
      </x:c>
      <x:c r="B16" s="11" t="str"/>
      <x:c r="C16" s="11" t="str"/>
      <x:c r="D16" s="11" t="str"/>
      <x:c r="E16" s="11" t="str"/>
      <x:c r="F16" s="11" t="str">
        <x:v>Once support/sales hires start, add them before calling profit distributable.</x:v>
      </x:c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</x:row>
    <x:row r="17">
      <x:c r="A17" s="11" t="str">
        <x:v>Ad spend is a budget, not guaranteed customers.</x:v>
      </x:c>
      <x:c r="B17" s="11" t="str"/>
      <x:c r="C17" s="11" t="str"/>
      <x:c r="D17" s="11" t="str"/>
      <x:c r="E17" s="11" t="str"/>
      <x:c r="F17" s="11" t="str">
        <x:v>Actual CAC must be measured after launch.</x:v>
      </x:c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45" hidden="0" customWidth="1"/>
    <x:col min="4" max="4" width="62" hidden="0" customWidth="1"/>
  </x:cols>
  <x:sheetData>
    <x:row r="1">
      <x:c r="A1" s="10" t="str">
        <x:v>Research Sources — Checked Aug 30, 2026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  <x:c r="M1" s="11"/>
      <x:c r="N1" s="11"/>
      <x:c r="O1" s="11"/>
      <x:c r="P1" s="11"/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</x:row>
    <x:row r="3">
      <x:c r="A3" s="12" t="str">
        <x:v>Source</x:v>
      </x:c>
      <x:c r="B3" s="12" t="str">
        <x:v>Current fact used</x:v>
      </x:c>
      <x:c r="C3" s="12" t="str">
        <x:v>How it affects model</x:v>
      </x:c>
      <x:c r="D3" s="12" t="str">
        <x:v>URL</x:v>
      </x:c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</x:row>
    <x:row r="4">
      <x:c r="A4" s="11" t="str">
        <x:v>Semrush SEO</x:v>
      </x:c>
      <x:c r="B4" s="11" t="str">
        <x:v>Pro $139/mo; Guru $249/mo; Business $499/mo</x:v>
      </x:c>
      <x:c r="C4" s="11" t="str">
        <x:v>Our ₹1,499–₹5,999 pricing is aggressively lower</x:v>
      </x:c>
      <x:c r="D4" s="11" t="str">
        <x:v>https://www.semrush.com/kb/1547-seo-toolkit-pricing-and-plans</x:v>
      </x:c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</x:row>
    <x:row r="5">
      <x:c r="A5" s="11" t="str">
        <x:v>Semrush Advertising</x:v>
      </x:c>
      <x:c r="B5" s="11" t="str">
        <x:v>Base $99/mo; Pro $220/mo</x:v>
      </x:c>
      <x:c r="C5" s="11" t="str">
        <x:v>Bundling ads management adds meaningful price value</x:v>
      </x:c>
      <x:c r="D5" s="11" t="str">
        <x:v>https://www.semrush.com/pricing/advertising/</x:v>
      </x:c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</x:row>
    <x:row r="6">
      <x:c r="A6" s="11" t="str">
        <x:v>Metricool</x:v>
      </x:c>
      <x:c r="B6" s="11" t="str">
        <x:v>Starter $20–25/mo; Advanced $67+/mo depending billing</x:v>
      </x:c>
      <x:c r="C6" s="11" t="str">
        <x:v>Prevents us pricing an entry plan unrealistically high</x:v>
      </x:c>
      <x:c r="D6" s="11" t="str">
        <x:v>https://metricool.com/pricing/</x:v>
      </x:c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</x:row>
    <x:row r="7">
      <x:c r="A7" s="11" t="str">
        <x:v>DataForSEO</x:v>
      </x:c>
      <x:c r="B7" s="11" t="str">
        <x:v>Pay-as-you-go; minimum payment $50</x:v>
      </x:c>
      <x:c r="C7" s="11" t="str">
        <x:v>Data needs quotas and cost controls</x:v>
      </x:c>
      <x:c r="D7" s="11" t="str">
        <x:v>https://dataforseo.com/pricing</x:v>
      </x:c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</x:row>
    <x:row r="8">
      <x:c r="A8" s="11" t="str">
        <x:v>DataForSEO SERP</x:v>
      </x:c>
      <x:c r="B8" s="11" t="str">
        <x:v>Standard SERP from $0.0006/page</x:v>
      </x:c>
      <x:c r="C8" s="11" t="str">
        <x:v>SERP queries can be cheap, but volume matters</x:v>
      </x:c>
      <x:c r="D8" s="11" t="str">
        <x:v>https://dataforseo.com/pricing/serp/google-dataset-search-serp-api</x:v>
      </x:c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</x:row>
    <x:row r="9">
      <x:c r="A9" s="11" t="str">
        <x:v>DataForSEO Backlinks</x:v>
      </x:c>
      <x:c r="B9" s="11" t="str">
        <x:v>$0.024/request + row charge; 1k-row example $0.06</x:v>
      </x:c>
      <x:c r="C9" s="11" t="str">
        <x:v>Backlink features need plan quotas</x:v>
      </x:c>
      <x:c r="D9" s="11" t="str">
        <x:v>https://dataforseo.com/pricing/backlinks/backlinks</x:v>
      </x:c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</x:row>
    <x:row r="10">
      <x:c r="A10" s="11" t="str">
        <x:v>Railway</x:v>
      </x:c>
      <x:c r="B10" s="11" t="str">
        <x:v>Usage-based platform; Hobby minimum is not a fixed production server bundle</x:v>
      </x:c>
      <x:c r="C10" s="11" t="str">
        <x:v>Use a realistic infra allowance, not only $5</x:v>
      </x:c>
      <x:c r="D10" s="11" t="str">
        <x:v>https://railway.com/pricing</x:v>
      </x:c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</x:row>
    <x:row r="11">
      <x:c r="A11" s="11" t="str">
        <x:v>Razorpay</x:v>
      </x:c>
      <x:c r="B11" s="11" t="str">
        <x:v>2% + GST per successful transaction</x:v>
      </x:c>
      <x:c r="C11" s="11" t="str">
        <x:v>Model uses 2.36% gateway cost</x:v>
      </x:c>
      <x:c r="D11" s="11" t="str">
        <x:v>https://razorpay.com/pricing/</x:v>
      </x:c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</x:row>
  </x:sheetData>
  <x:mergeCells>
    <x:mergeCell ref="A1:D1"/>
  </x:mergeCells>
  <x:pageMargins left="0.7" right="0.7" top="0.75" bottom="0.75" header="0.3" footer="0.3"/>
</x:worksheet>
</file>